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varun\OneDrive\Documents\"/>
    </mc:Choice>
  </mc:AlternateContent>
  <xr:revisionPtr revIDLastSave="0" documentId="8_{5EEA8BF3-AA03-432D-A9AA-C1A75B397AB7}" xr6:coauthVersionLast="47" xr6:coauthVersionMax="47" xr10:uidLastSave="{00000000-0000-0000-0000-000000000000}"/>
  <bookViews>
    <workbookView xWindow="-108" yWindow="-108" windowWidth="23256" windowHeight="12456" activeTab="2" xr2:uid="{E3B7B925-C738-49CB-862C-CF37187631E6}"/>
  </bookViews>
  <sheets>
    <sheet name="Sleep_Health_and_Lifestyle_Data" sheetId="2" r:id="rId1"/>
    <sheet name="TABLE AND CHART" sheetId="4" r:id="rId2"/>
    <sheet name="DASHBOARD" sheetId="1" r:id="rId3"/>
  </sheets>
  <definedNames>
    <definedName name="ExternalData_1" localSheetId="0" hidden="1">Sleep_Health_and_Lifestyle_Data!$A$1:$M$375</definedName>
    <definedName name="Slicer_Occupation">#N/A</definedName>
  </definedNames>
  <calcPr calcId="191029"/>
  <pivotCaches>
    <pivotCache cacheId="9" r:id="rId4"/>
    <pivotCache cacheId="1" r:id="rId5"/>
    <pivotCache cacheId="2" r:id="rId6"/>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95" i="4" l="1"/>
  <c r="AA95" i="4"/>
  <c r="W95" i="4"/>
  <c r="S95" i="4"/>
  <c r="Q95" i="4"/>
  <c r="S7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0337B0-531B-4F5E-8315-7435549D6F37}" keepAlive="1" name="Query - Sleep_Health_and_Lifestyle_Dataset" description="Connection to the 'Sleep_Health_and_Lifestyle_Dataset' query in the workbook." type="5" refreshedVersion="8" background="1" saveData="1">
    <dbPr connection="Provider=Microsoft.Mashup.OleDb.1;Data Source=$Workbook$;Location=Sleep_Health_and_Lifestyle_Dataset;Extended Properties=&quot;&quot;" command="SELECT * FROM [Sleep_Health_and_Lifestyle_Dataset]"/>
  </connection>
  <connection id="2" xr16:uid="{B1A6CB03-52F8-40BF-80E0-3F627FC52497}" keepAlive="1" name="Query - Sleep_Health_and_Lifestyle_Dataset (2)" description="Connection to the 'Sleep_Health_and_Lifestyle_Dataset (2)' query in the workbook." type="5" refreshedVersion="8" background="1" saveData="1">
    <dbPr connection="Provider=Microsoft.Mashup.OleDb.1;Data Source=$Workbook$;Location=&quot;Sleep_Health_and_Lifestyle_Dataset (2)&quot;;Extended Properties=&quot;&quot;" command="SELECT * FROM [Sleep_Health_and_Lifestyle_Dataset (2)]"/>
  </connection>
  <connection id="3" xr16:uid="{C1A05A1F-8DD5-4CEE-AEE3-673EC8B67310}" keepAlive="1" name="Query - Sleep_Health_and_Lifestyle_Dataset (3)" description="Connection to the 'Sleep_Health_and_Lifestyle_Dataset (3)' query in the workbook." type="5" refreshedVersion="8" background="1" saveData="1">
    <dbPr connection="Provider=Microsoft.Mashup.OleDb.1;Data Source=$Workbook$;Location=&quot;Sleep_Health_and_Lifestyle_Dataset (3)&quot;;Extended Properties=&quot;&quot;" command="SELECT * FROM [Sleep_Health_and_Lifestyle_Dataset (3)]"/>
  </connection>
  <connection id="4" xr16:uid="{91D0305E-9822-4E1E-9DDB-AC17512095D7}" keepAlive="1" name="Query - Sleep_Health_and_Lifestyle_Dataset (4)" description="Connection to the 'Sleep_Health_and_Lifestyle_Dataset (4)' query in the workbook." type="5" refreshedVersion="8" background="1" saveData="1">
    <dbPr connection="Provider=Microsoft.Mashup.OleDb.1;Data Source=$Workbook$;Location=&quot;Sleep_Health_and_Lifestyle_Dataset (4)&quot;;Extended Properties=&quot;&quot;" command="SELECT * FROM [Sleep_Health_and_Lifestyle_Dataset (4)]"/>
  </connection>
</connections>
</file>

<file path=xl/sharedStrings.xml><?xml version="1.0" encoding="utf-8"?>
<sst xmlns="http://schemas.openxmlformats.org/spreadsheetml/2006/main" count="1940" uniqueCount="70">
  <si>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</si>
  <si>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</si>
  <si>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</si>
  <si>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</si>
  <si>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</si>
  <si>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</si>
  <si>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</si>
  <si>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</si>
  <si>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</si>
  <si>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</si>
  <si>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</si>
  <si>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</si>
  <si>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</si>
  <si>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</si>
  <si>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</si>
  <si>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</si>
  <si>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</si>
  <si>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</si>
  <si>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</si>
  <si>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</si>
  <si>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</si>
  <si>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</si>
  <si>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</si>
  <si>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</si>
  <si>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</si>
  <si>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</si>
  <si>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</si>
  <si>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</si>
  <si>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</si>
  <si>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</si>
  <si>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</si>
  <si>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</si>
  <si>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</si>
  <si>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</si>
  <si>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</si>
  <si>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</si>
  <si>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</si>
  <si>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</si>
  <si>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</si>
  <si>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</si>
  <si>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</si>
  <si>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</si>
  <si>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</si>
  <si>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</si>
  <si>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</si>
  <si>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</si>
  <si>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</si>
  <si>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</si>
  <si>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</si>
  <si>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</si>
  <si>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</si>
  <si>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</si>
  <si>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</si>
  <si>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</si>
  <si>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</si>
  <si>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</si>
  <si>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</si>
  <si>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</si>
  <si>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Sum of Sleep Duration</t>
  </si>
  <si>
    <t>Row Labels</t>
  </si>
  <si>
    <t>Grand Total</t>
  </si>
  <si>
    <t>Count of Person ID</t>
  </si>
  <si>
    <t>Average of Sleep Duration</t>
  </si>
  <si>
    <t>Average of Stress Level</t>
  </si>
  <si>
    <t>average sleep duration</t>
  </si>
  <si>
    <t>average quality of sleep</t>
  </si>
  <si>
    <t>average stress level</t>
  </si>
  <si>
    <t>average daily steps</t>
  </si>
  <si>
    <t>average heart rate</t>
  </si>
  <si>
    <t>Average of Quality of Sleep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</si>
</sst>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6">
    <border>
      <left/>
      <right/>
      <top/>
      <bottom/>
      <diagonal/>
    </border>
    <border>
      <left style="thin">
        <color theme="4" tint="0.39997558519241921"/>
      </left>
      <right/>
      <top style="thin">
        <color theme="9" tint="0.39997558519241921"/>
      </top>
      <bottom style="thin">
        <color theme="9" tint="0.39997558519241921"/>
      </bottom>
      <diagonal/>
    </border>
    <border>
      <left/>
      <right style="thin">
        <color theme="4" tint="0.39997558519241921"/>
      </right>
      <top style="thin">
        <color theme="9" tint="0.39997558519241921"/>
      </top>
      <bottom style="thin">
        <color theme="9" tint="0.39997558519241921"/>
      </bottom>
      <diagonal/>
    </border>
    <border>
      <left style="thin">
        <color theme="4" tint="0.39997558519241921"/>
      </left>
      <right/>
      <top style="thin">
        <color theme="9" tint="0.39997558519241921"/>
      </top>
      <bottom/>
      <diagonal/>
    </border>
    <border>
      <left/>
      <right style="thin">
        <color theme="4"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1" fillId="2" borderId="3" xfId="0" applyFont="1" applyFill="1" applyBorder="1"/>
    <xf numFmtId="0" fontId="1" fillId="2" borderId="4" xfId="0" applyFont="1" applyFill="1" applyBorder="1"/>
    <xf numFmtId="0" fontId="0" fillId="3" borderId="3" xfId="0" applyFill="1" applyBorder="1"/>
    <xf numFmtId="0" fontId="0" fillId="3" borderId="4" xfId="0" applyFill="1" applyBorder="1"/>
    <xf numFmtId="0" fontId="0" fillId="0" borderId="3" xfId="0" applyBorder="1"/>
    <xf numFmtId="0" fontId="0" fillId="0" borderId="4" xfId="0" applyBorder="1"/>
    <xf numFmtId="0" fontId="0" fillId="0" borderId="1" xfId="0" applyBorder="1"/>
    <xf numFmtId="0" fontId="0" fillId="0" borderId="2" xfId="0" applyBorder="1"/>
    <xf numFmtId="0" fontId="0" fillId="0" borderId="0" xfId="0" applyAlignment="1">
      <alignment horizontal="center"/>
    </xf>
    <xf numFmtId="0" fontId="0" fillId="0" borderId="5" xfId="0" applyBorder="1"/>
    <xf numFmtId="0" fontId="0" fillId="4" borderId="5" xfId="0" applyFill="1" applyBorder="1"/>
    <xf numFmtId="0" fontId="0" fillId="0" borderId="0" xfId="0" applyNumberFormat="1"/>
  </cellXfs>
  <cellStyles count="1">
    <cellStyle name="Normal" xfId="0" builtinId="0"/>
  </cellStyles>
  <dxfs count="11">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AND CHART'!$B$3</c:f>
              <c:strCache>
                <c:ptCount val="1"/>
                <c:pt idx="0">
                  <c:v>Total</c:v>
                </c:pt>
              </c:strCache>
            </c:strRef>
          </c:tx>
          <c:spPr>
            <a:solidFill>
              <a:schemeClr val="accent1"/>
            </a:solidFill>
            <a:ln>
              <a:noFill/>
            </a:ln>
            <a:effectLst/>
          </c:spPr>
          <c:invertIfNegative val="0"/>
          <c:cat>
            <c:strRef>
              <c:f>'TABLE AND CHART'!$A$4:$A$5</c:f>
              <c:strCache>
                <c:ptCount val="1"/>
                <c:pt idx="0">
                  <c:v>30</c:v>
                </c:pt>
              </c:strCache>
            </c:strRef>
          </c:cat>
          <c:val>
            <c:numRef>
              <c:f>'TABLE AND CHART'!$B$4:$B$5</c:f>
              <c:numCache>
                <c:formatCode>General</c:formatCode>
                <c:ptCount val="1"/>
                <c:pt idx="0">
                  <c:v>98.399999999999991</c:v>
                </c:pt>
              </c:numCache>
            </c:numRef>
          </c:val>
          <c:extLst>
            <c:ext xmlns:c16="http://schemas.microsoft.com/office/drawing/2014/chart" uri="{C3380CC4-5D6E-409C-BE32-E72D297353CC}">
              <c16:uniqueId val="{0000001E-51A1-4358-AC83-B4822C177D06}"/>
            </c:ext>
          </c:extLst>
        </c:ser>
        <c:dLbls>
          <c:showLegendKey val="0"/>
          <c:showVal val="0"/>
          <c:showCatName val="0"/>
          <c:showSerName val="0"/>
          <c:showPercent val="0"/>
          <c:showBubbleSize val="0"/>
        </c:dLbls>
        <c:gapWidth val="219"/>
        <c:overlap val="-27"/>
        <c:axId val="1365388559"/>
        <c:axId val="1365389039"/>
      </c:barChart>
      <c:catAx>
        <c:axId val="136538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89039"/>
        <c:crosses val="autoZero"/>
        <c:auto val="1"/>
        <c:lblAlgn val="ctr"/>
        <c:lblOffset val="100"/>
        <c:noMultiLvlLbl val="0"/>
      </c:catAx>
      <c:valAx>
        <c:axId val="136538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8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AND CHART'!$M$25</c:f>
              <c:strCache>
                <c:ptCount val="1"/>
                <c:pt idx="0">
                  <c:v>Total</c:v>
                </c:pt>
              </c:strCache>
            </c:strRef>
          </c:tx>
          <c:spPr>
            <a:solidFill>
              <a:schemeClr val="accent1"/>
            </a:solidFill>
            <a:ln>
              <a:noFill/>
            </a:ln>
            <a:effectLst/>
          </c:spPr>
          <c:invertIfNegative val="0"/>
          <c:cat>
            <c:strRef>
              <c:f>'TABLE AND CHART'!$L$26:$L$29</c:f>
              <c:strCache>
                <c:ptCount val="3"/>
                <c:pt idx="0">
                  <c:v>Insomnia</c:v>
                </c:pt>
                <c:pt idx="1">
                  <c:v>None</c:v>
                </c:pt>
                <c:pt idx="2">
                  <c:v>Sleep Apnea</c:v>
                </c:pt>
              </c:strCache>
            </c:strRef>
          </c:cat>
          <c:val>
            <c:numRef>
              <c:f>'TABLE AND CHART'!$M$26:$M$29</c:f>
              <c:numCache>
                <c:formatCode>General</c:formatCode>
                <c:ptCount val="3"/>
                <c:pt idx="0">
                  <c:v>77</c:v>
                </c:pt>
                <c:pt idx="1">
                  <c:v>219</c:v>
                </c:pt>
                <c:pt idx="2">
                  <c:v>78</c:v>
                </c:pt>
              </c:numCache>
            </c:numRef>
          </c:val>
          <c:extLst>
            <c:ext xmlns:c16="http://schemas.microsoft.com/office/drawing/2014/chart" uri="{C3380CC4-5D6E-409C-BE32-E72D297353CC}">
              <c16:uniqueId val="{0000000B-CFB3-4951-9E87-428D93F5CB68}"/>
            </c:ext>
          </c:extLst>
        </c:ser>
        <c:dLbls>
          <c:showLegendKey val="0"/>
          <c:showVal val="0"/>
          <c:showCatName val="0"/>
          <c:showSerName val="0"/>
          <c:showPercent val="0"/>
          <c:showBubbleSize val="0"/>
        </c:dLbls>
        <c:gapWidth val="219"/>
        <c:overlap val="-27"/>
        <c:axId val="1049518111"/>
        <c:axId val="1049520511"/>
      </c:barChart>
      <c:catAx>
        <c:axId val="104951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20511"/>
        <c:crosses val="autoZero"/>
        <c:auto val="1"/>
        <c:lblAlgn val="ctr"/>
        <c:lblOffset val="100"/>
        <c:noMultiLvlLbl val="0"/>
      </c:catAx>
      <c:valAx>
        <c:axId val="104952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1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AND CHART'!$N$39</c:f>
              <c:strCache>
                <c:ptCount val="1"/>
                <c:pt idx="0">
                  <c:v>Total</c:v>
                </c:pt>
              </c:strCache>
            </c:strRef>
          </c:tx>
          <c:spPr>
            <a:solidFill>
              <a:schemeClr val="accent1"/>
            </a:solidFill>
            <a:ln>
              <a:noFill/>
            </a:ln>
            <a:effectLst/>
          </c:spPr>
          <c:invertIfNegative val="0"/>
          <c:cat>
            <c:strRef>
              <c:f>'TABLE AND CHART'!$M$40:$M$51</c:f>
              <c:strCache>
                <c:ptCount val="11"/>
                <c:pt idx="0">
                  <c:v>Sales Representative</c:v>
                </c:pt>
                <c:pt idx="1">
                  <c:v>Scientist</c:v>
                </c:pt>
                <c:pt idx="2">
                  <c:v>Salesperson</c:v>
                </c:pt>
                <c:pt idx="3">
                  <c:v>Teacher</c:v>
                </c:pt>
                <c:pt idx="4">
                  <c:v>Software Engineer</c:v>
                </c:pt>
                <c:pt idx="5">
                  <c:v>Manager</c:v>
                </c:pt>
                <c:pt idx="6">
                  <c:v>Doctor</c:v>
                </c:pt>
                <c:pt idx="7">
                  <c:v>Nurse</c:v>
                </c:pt>
                <c:pt idx="8">
                  <c:v>Accountant</c:v>
                </c:pt>
                <c:pt idx="9">
                  <c:v>Lawyer</c:v>
                </c:pt>
                <c:pt idx="10">
                  <c:v>Engineer</c:v>
                </c:pt>
              </c:strCache>
            </c:strRef>
          </c:cat>
          <c:val>
            <c:numRef>
              <c:f>'TABLE AND CHART'!$N$40:$N$51</c:f>
              <c:numCache>
                <c:formatCode>General</c:formatCode>
                <c:ptCount val="11"/>
                <c:pt idx="0">
                  <c:v>5.9</c:v>
                </c:pt>
                <c:pt idx="1">
                  <c:v>6</c:v>
                </c:pt>
                <c:pt idx="2">
                  <c:v>6.4031250000000037</c:v>
                </c:pt>
                <c:pt idx="3">
                  <c:v>6.69</c:v>
                </c:pt>
                <c:pt idx="4">
                  <c:v>6.75</c:v>
                </c:pt>
                <c:pt idx="5">
                  <c:v>6.9</c:v>
                </c:pt>
                <c:pt idx="6">
                  <c:v>6.9704225352112683</c:v>
                </c:pt>
                <c:pt idx="7">
                  <c:v>7.0630136986301375</c:v>
                </c:pt>
                <c:pt idx="8">
                  <c:v>7.1135135135135128</c:v>
                </c:pt>
                <c:pt idx="9">
                  <c:v>7.4106382978723397</c:v>
                </c:pt>
                <c:pt idx="10">
                  <c:v>7.9873015873015847</c:v>
                </c:pt>
              </c:numCache>
            </c:numRef>
          </c:val>
          <c:extLst>
            <c:ext xmlns:c16="http://schemas.microsoft.com/office/drawing/2014/chart" uri="{C3380CC4-5D6E-409C-BE32-E72D297353CC}">
              <c16:uniqueId val="{00000000-4E5E-4376-A276-A6A284B7F26C}"/>
            </c:ext>
          </c:extLst>
        </c:ser>
        <c:dLbls>
          <c:showLegendKey val="0"/>
          <c:showVal val="0"/>
          <c:showCatName val="0"/>
          <c:showSerName val="0"/>
          <c:showPercent val="0"/>
          <c:showBubbleSize val="0"/>
        </c:dLbls>
        <c:gapWidth val="219"/>
        <c:axId val="148641776"/>
        <c:axId val="148638416"/>
      </c:barChart>
      <c:catAx>
        <c:axId val="14864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8416"/>
        <c:crosses val="autoZero"/>
        <c:auto val="1"/>
        <c:lblAlgn val="ctr"/>
        <c:lblOffset val="100"/>
        <c:noMultiLvlLbl val="0"/>
      </c:catAx>
      <c:valAx>
        <c:axId val="14863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AND CHART'!$C$60</c:f>
              <c:strCache>
                <c:ptCount val="1"/>
                <c:pt idx="0">
                  <c:v>Total</c:v>
                </c:pt>
              </c:strCache>
            </c:strRef>
          </c:tx>
          <c:spPr>
            <a:solidFill>
              <a:schemeClr val="accent1"/>
            </a:solidFill>
            <a:ln>
              <a:noFill/>
            </a:ln>
            <a:effectLst/>
          </c:spPr>
          <c:invertIfNegative val="0"/>
          <c:cat>
            <c:strRef>
              <c:f>'TABLE AND CHART'!$B$61:$B$72</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'TABLE AND CHART'!$C$61:$C$72</c:f>
              <c:numCache>
                <c:formatCode>General</c:formatCode>
                <c:ptCount val="11"/>
                <c:pt idx="0">
                  <c:v>4.5945945945945947</c:v>
                </c:pt>
                <c:pt idx="1">
                  <c:v>6.732394366197183</c:v>
                </c:pt>
                <c:pt idx="2">
                  <c:v>3.8888888888888888</c:v>
                </c:pt>
                <c:pt idx="3">
                  <c:v>5.0638297872340425</c:v>
                </c:pt>
                <c:pt idx="4">
                  <c:v>5</c:v>
                </c:pt>
                <c:pt idx="5">
                  <c:v>5.5479452054794525</c:v>
                </c:pt>
                <c:pt idx="6">
                  <c:v>8</c:v>
                </c:pt>
                <c:pt idx="7">
                  <c:v>7</c:v>
                </c:pt>
                <c:pt idx="8">
                  <c:v>7</c:v>
                </c:pt>
                <c:pt idx="9">
                  <c:v>6</c:v>
                </c:pt>
                <c:pt idx="10">
                  <c:v>4.5250000000000004</c:v>
                </c:pt>
              </c:numCache>
            </c:numRef>
          </c:val>
          <c:extLst>
            <c:ext xmlns:c16="http://schemas.microsoft.com/office/drawing/2014/chart" uri="{C3380CC4-5D6E-409C-BE32-E72D297353CC}">
              <c16:uniqueId val="{00000000-C6DE-4BD5-BB3B-9C27BF212405}"/>
            </c:ext>
          </c:extLst>
        </c:ser>
        <c:dLbls>
          <c:showLegendKey val="0"/>
          <c:showVal val="0"/>
          <c:showCatName val="0"/>
          <c:showSerName val="0"/>
          <c:showPercent val="0"/>
          <c:showBubbleSize val="0"/>
        </c:dLbls>
        <c:gapWidth val="219"/>
        <c:overlap val="-27"/>
        <c:axId val="163138320"/>
        <c:axId val="163138800"/>
      </c:barChart>
      <c:catAx>
        <c:axId val="16313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38800"/>
        <c:crosses val="autoZero"/>
        <c:auto val="1"/>
        <c:lblAlgn val="ctr"/>
        <c:lblOffset val="100"/>
        <c:noMultiLvlLbl val="0"/>
      </c:catAx>
      <c:valAx>
        <c:axId val="16313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3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Steps vs Sleep 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 AND CHART'!$C$77</c:f>
              <c:strCache>
                <c:ptCount val="1"/>
                <c:pt idx="0">
                  <c:v>Daily Steps</c:v>
                </c:pt>
              </c:strCache>
            </c:strRef>
          </c:tx>
          <c:spPr>
            <a:ln w="19050" cap="rnd">
              <a:noFill/>
              <a:round/>
            </a:ln>
            <a:effectLst/>
          </c:spPr>
          <c:marker>
            <c:symbol val="circle"/>
            <c:size val="5"/>
            <c:spPr>
              <a:solidFill>
                <a:schemeClr val="accent1"/>
              </a:solidFill>
              <a:ln w="9525">
                <a:solidFill>
                  <a:schemeClr val="accent1"/>
                </a:solidFill>
              </a:ln>
              <a:effectLst/>
            </c:spPr>
          </c:marker>
          <c:xVal>
            <c:numRef>
              <c:f>'TABLE AND CHART'!$B$78:$B$451</c:f>
              <c:numCache>
                <c:formatCode>General</c:formatCode>
                <c:ptCount val="374"/>
                <c:pt idx="0">
                  <c:v>6.1</c:v>
                </c:pt>
                <c:pt idx="1">
                  <c:v>6.2</c:v>
                </c:pt>
                <c:pt idx="2">
                  <c:v>6.2</c:v>
                </c:pt>
                <c:pt idx="3">
                  <c:v>5.9</c:v>
                </c:pt>
                <c:pt idx="4">
                  <c:v>5.9</c:v>
                </c:pt>
                <c:pt idx="5">
                  <c:v>5.9</c:v>
                </c:pt>
                <c:pt idx="6">
                  <c:v>6.3</c:v>
                </c:pt>
                <c:pt idx="7">
                  <c:v>7.8</c:v>
                </c:pt>
                <c:pt idx="8">
                  <c:v>7.8</c:v>
                </c:pt>
                <c:pt idx="9">
                  <c:v>7.8</c:v>
                </c:pt>
                <c:pt idx="10">
                  <c:v>6.1</c:v>
                </c:pt>
                <c:pt idx="11">
                  <c:v>7.8</c:v>
                </c:pt>
                <c:pt idx="12">
                  <c:v>6.1</c:v>
                </c:pt>
                <c:pt idx="13">
                  <c:v>6</c:v>
                </c:pt>
                <c:pt idx="14">
                  <c:v>6</c:v>
                </c:pt>
                <c:pt idx="15">
                  <c:v>6</c:v>
                </c:pt>
                <c:pt idx="16">
                  <c:v>6.5</c:v>
                </c:pt>
                <c:pt idx="17">
                  <c:v>6</c:v>
                </c:pt>
                <c:pt idx="18">
                  <c:v>6.5</c:v>
                </c:pt>
                <c:pt idx="19">
                  <c:v>7.6</c:v>
                </c:pt>
                <c:pt idx="20">
                  <c:v>7.7</c:v>
                </c:pt>
                <c:pt idx="21">
                  <c:v>7.7</c:v>
                </c:pt>
                <c:pt idx="22">
                  <c:v>7.7</c:v>
                </c:pt>
                <c:pt idx="23">
                  <c:v>7.7</c:v>
                </c:pt>
                <c:pt idx="24">
                  <c:v>7.8</c:v>
                </c:pt>
                <c:pt idx="25">
                  <c:v>7.9</c:v>
                </c:pt>
                <c:pt idx="26">
                  <c:v>7.8</c:v>
                </c:pt>
                <c:pt idx="27">
                  <c:v>7.9</c:v>
                </c:pt>
                <c:pt idx="28">
                  <c:v>7.9</c:v>
                </c:pt>
                <c:pt idx="29">
                  <c:v>7.9</c:v>
                </c:pt>
                <c:pt idx="30">
                  <c:v>6.4</c:v>
                </c:pt>
                <c:pt idx="31">
                  <c:v>6.4</c:v>
                </c:pt>
                <c:pt idx="32">
                  <c:v>7.9</c:v>
                </c:pt>
                <c:pt idx="33">
                  <c:v>6.1</c:v>
                </c:pt>
                <c:pt idx="34">
                  <c:v>7.7</c:v>
                </c:pt>
                <c:pt idx="35">
                  <c:v>6.1</c:v>
                </c:pt>
                <c:pt idx="36">
                  <c:v>6.1</c:v>
                </c:pt>
                <c:pt idx="37">
                  <c:v>7.6</c:v>
                </c:pt>
                <c:pt idx="38">
                  <c:v>7.6</c:v>
                </c:pt>
                <c:pt idx="39">
                  <c:v>7.6</c:v>
                </c:pt>
                <c:pt idx="40">
                  <c:v>7.7</c:v>
                </c:pt>
                <c:pt idx="41">
                  <c:v>7.7</c:v>
                </c:pt>
                <c:pt idx="42">
                  <c:v>7.7</c:v>
                </c:pt>
                <c:pt idx="43">
                  <c:v>7.8</c:v>
                </c:pt>
                <c:pt idx="44">
                  <c:v>7.7</c:v>
                </c:pt>
                <c:pt idx="45">
                  <c:v>7.8</c:v>
                </c:pt>
                <c:pt idx="46">
                  <c:v>7.7</c:v>
                </c:pt>
                <c:pt idx="47">
                  <c:v>7.8</c:v>
                </c:pt>
                <c:pt idx="48">
                  <c:v>7.7</c:v>
                </c:pt>
                <c:pt idx="49">
                  <c:v>7.7</c:v>
                </c:pt>
                <c:pt idx="50">
                  <c:v>7.5</c:v>
                </c:pt>
                <c:pt idx="51">
                  <c:v>7.5</c:v>
                </c:pt>
                <c:pt idx="52">
                  <c:v>6</c:v>
                </c:pt>
                <c:pt idx="53">
                  <c:v>7.6</c:v>
                </c:pt>
                <c:pt idx="54">
                  <c:v>6</c:v>
                </c:pt>
                <c:pt idx="55">
                  <c:v>6</c:v>
                </c:pt>
                <c:pt idx="56">
                  <c:v>7.7</c:v>
                </c:pt>
                <c:pt idx="57">
                  <c:v>6</c:v>
                </c:pt>
                <c:pt idx="58">
                  <c:v>6</c:v>
                </c:pt>
                <c:pt idx="59">
                  <c:v>7.7</c:v>
                </c:pt>
                <c:pt idx="60">
                  <c:v>6</c:v>
                </c:pt>
                <c:pt idx="61">
                  <c:v>6</c:v>
                </c:pt>
                <c:pt idx="62">
                  <c:v>6.2</c:v>
                </c:pt>
                <c:pt idx="63">
                  <c:v>6.2</c:v>
                </c:pt>
                <c:pt idx="64">
                  <c:v>6.2</c:v>
                </c:pt>
                <c:pt idx="65">
                  <c:v>6.2</c:v>
                </c:pt>
                <c:pt idx="66">
                  <c:v>7.2</c:v>
                </c:pt>
                <c:pt idx="67">
                  <c:v>6</c:v>
                </c:pt>
                <c:pt idx="68">
                  <c:v>6.2</c:v>
                </c:pt>
                <c:pt idx="69">
                  <c:v>6.2</c:v>
                </c:pt>
                <c:pt idx="70">
                  <c:v>6.1</c:v>
                </c:pt>
                <c:pt idx="71">
                  <c:v>6.1</c:v>
                </c:pt>
                <c:pt idx="72">
                  <c:v>6.1</c:v>
                </c:pt>
                <c:pt idx="73">
                  <c:v>6.1</c:v>
                </c:pt>
                <c:pt idx="74">
                  <c:v>6</c:v>
                </c:pt>
                <c:pt idx="75">
                  <c:v>6</c:v>
                </c:pt>
                <c:pt idx="76">
                  <c:v>6</c:v>
                </c:pt>
                <c:pt idx="77">
                  <c:v>6</c:v>
                </c:pt>
                <c:pt idx="78">
                  <c:v>6</c:v>
                </c:pt>
                <c:pt idx="79">
                  <c:v>6</c:v>
                </c:pt>
                <c:pt idx="80">
                  <c:v>5.8</c:v>
                </c:pt>
                <c:pt idx="81">
                  <c:v>5.8</c:v>
                </c:pt>
                <c:pt idx="82">
                  <c:v>6.7</c:v>
                </c:pt>
                <c:pt idx="83">
                  <c:v>6.7</c:v>
                </c:pt>
                <c:pt idx="84">
                  <c:v>7.5</c:v>
                </c:pt>
                <c:pt idx="85">
                  <c:v>7.2</c:v>
                </c:pt>
                <c:pt idx="86">
                  <c:v>7.2</c:v>
                </c:pt>
                <c:pt idx="87">
                  <c:v>7.2</c:v>
                </c:pt>
                <c:pt idx="88">
                  <c:v>7.3</c:v>
                </c:pt>
                <c:pt idx="89">
                  <c:v>7.3</c:v>
                </c:pt>
                <c:pt idx="90">
                  <c:v>7.3</c:v>
                </c:pt>
                <c:pt idx="91">
                  <c:v>7.3</c:v>
                </c:pt>
                <c:pt idx="92">
                  <c:v>7.5</c:v>
                </c:pt>
                <c:pt idx="93">
                  <c:v>7.4</c:v>
                </c:pt>
                <c:pt idx="94">
                  <c:v>7.2</c:v>
                </c:pt>
                <c:pt idx="95">
                  <c:v>7.1</c:v>
                </c:pt>
                <c:pt idx="96">
                  <c:v>7.2</c:v>
                </c:pt>
                <c:pt idx="97">
                  <c:v>7.1</c:v>
                </c:pt>
                <c:pt idx="98">
                  <c:v>7.1</c:v>
                </c:pt>
                <c:pt idx="99">
                  <c:v>7.1</c:v>
                </c:pt>
                <c:pt idx="100">
                  <c:v>7.2</c:v>
                </c:pt>
                <c:pt idx="101">
                  <c:v>7.2</c:v>
                </c:pt>
                <c:pt idx="102">
                  <c:v>7.2</c:v>
                </c:pt>
                <c:pt idx="103">
                  <c:v>6.6</c:v>
                </c:pt>
                <c:pt idx="104">
                  <c:v>7.2</c:v>
                </c:pt>
                <c:pt idx="105">
                  <c:v>6.6</c:v>
                </c:pt>
                <c:pt idx="106">
                  <c:v>6.1</c:v>
                </c:pt>
                <c:pt idx="107">
                  <c:v>7.8</c:v>
                </c:pt>
                <c:pt idx="108">
                  <c:v>7.8</c:v>
                </c:pt>
                <c:pt idx="109">
                  <c:v>7.4</c:v>
                </c:pt>
                <c:pt idx="110">
                  <c:v>7.2</c:v>
                </c:pt>
                <c:pt idx="111">
                  <c:v>7.4</c:v>
                </c:pt>
                <c:pt idx="112">
                  <c:v>7.2</c:v>
                </c:pt>
                <c:pt idx="113">
                  <c:v>7.4</c:v>
                </c:pt>
                <c:pt idx="114">
                  <c:v>7.2</c:v>
                </c:pt>
                <c:pt idx="115">
                  <c:v>7.2</c:v>
                </c:pt>
                <c:pt idx="116">
                  <c:v>7.2</c:v>
                </c:pt>
                <c:pt idx="117">
                  <c:v>7.2</c:v>
                </c:pt>
                <c:pt idx="118">
                  <c:v>7.2</c:v>
                </c:pt>
                <c:pt idx="119">
                  <c:v>7.2</c:v>
                </c:pt>
                <c:pt idx="120">
                  <c:v>7.2</c:v>
                </c:pt>
                <c:pt idx="121">
                  <c:v>7.2</c:v>
                </c:pt>
                <c:pt idx="122">
                  <c:v>7.2</c:v>
                </c:pt>
                <c:pt idx="123">
                  <c:v>7.2</c:v>
                </c:pt>
                <c:pt idx="124">
                  <c:v>7.2</c:v>
                </c:pt>
                <c:pt idx="125">
                  <c:v>7.5</c:v>
                </c:pt>
                <c:pt idx="126">
                  <c:v>7.3</c:v>
                </c:pt>
                <c:pt idx="127">
                  <c:v>7.1</c:v>
                </c:pt>
                <c:pt idx="128">
                  <c:v>7.3</c:v>
                </c:pt>
                <c:pt idx="129">
                  <c:v>7.3</c:v>
                </c:pt>
                <c:pt idx="130">
                  <c:v>7.1</c:v>
                </c:pt>
                <c:pt idx="131">
                  <c:v>7.3</c:v>
                </c:pt>
                <c:pt idx="132">
                  <c:v>7.3</c:v>
                </c:pt>
                <c:pt idx="133">
                  <c:v>7.1</c:v>
                </c:pt>
                <c:pt idx="134">
                  <c:v>7.3</c:v>
                </c:pt>
                <c:pt idx="135">
                  <c:v>7.3</c:v>
                </c:pt>
                <c:pt idx="136">
                  <c:v>7.1</c:v>
                </c:pt>
                <c:pt idx="137">
                  <c:v>7.1</c:v>
                </c:pt>
                <c:pt idx="138">
                  <c:v>7.1</c:v>
                </c:pt>
                <c:pt idx="139">
                  <c:v>7.1</c:v>
                </c:pt>
                <c:pt idx="140">
                  <c:v>7.1</c:v>
                </c:pt>
                <c:pt idx="141">
                  <c:v>7.1</c:v>
                </c:pt>
                <c:pt idx="142">
                  <c:v>7.1</c:v>
                </c:pt>
                <c:pt idx="143">
                  <c:v>7.1</c:v>
                </c:pt>
                <c:pt idx="144">
                  <c:v>7.1</c:v>
                </c:pt>
                <c:pt idx="145">
                  <c:v>7.4</c:v>
                </c:pt>
                <c:pt idx="146">
                  <c:v>7.2</c:v>
                </c:pt>
                <c:pt idx="147">
                  <c:v>6.5</c:v>
                </c:pt>
                <c:pt idx="148">
                  <c:v>6.9</c:v>
                </c:pt>
                <c:pt idx="149">
                  <c:v>8</c:v>
                </c:pt>
                <c:pt idx="150">
                  <c:v>8</c:v>
                </c:pt>
                <c:pt idx="151">
                  <c:v>7.2</c:v>
                </c:pt>
                <c:pt idx="152">
                  <c:v>7.2</c:v>
                </c:pt>
                <c:pt idx="153">
                  <c:v>7.2</c:v>
                </c:pt>
                <c:pt idx="154">
                  <c:v>7.2</c:v>
                </c:pt>
                <c:pt idx="155">
                  <c:v>7.2</c:v>
                </c:pt>
                <c:pt idx="156">
                  <c:v>7.2</c:v>
                </c:pt>
                <c:pt idx="157">
                  <c:v>7.2</c:v>
                </c:pt>
                <c:pt idx="158">
                  <c:v>7.2</c:v>
                </c:pt>
                <c:pt idx="159">
                  <c:v>7.2</c:v>
                </c:pt>
                <c:pt idx="160">
                  <c:v>7.2</c:v>
                </c:pt>
                <c:pt idx="161">
                  <c:v>7.2</c:v>
                </c:pt>
                <c:pt idx="162">
                  <c:v>7.2</c:v>
                </c:pt>
                <c:pt idx="163">
                  <c:v>7.9</c:v>
                </c:pt>
                <c:pt idx="164">
                  <c:v>7.9</c:v>
                </c:pt>
                <c:pt idx="165">
                  <c:v>7.6</c:v>
                </c:pt>
                <c:pt idx="166">
                  <c:v>7.3</c:v>
                </c:pt>
                <c:pt idx="167">
                  <c:v>7.1</c:v>
                </c:pt>
                <c:pt idx="168">
                  <c:v>7.1</c:v>
                </c:pt>
                <c:pt idx="169">
                  <c:v>7.7</c:v>
                </c:pt>
                <c:pt idx="170">
                  <c:v>7.7</c:v>
                </c:pt>
                <c:pt idx="171">
                  <c:v>7.7</c:v>
                </c:pt>
                <c:pt idx="172">
                  <c:v>7.7</c:v>
                </c:pt>
                <c:pt idx="173">
                  <c:v>7.7</c:v>
                </c:pt>
                <c:pt idx="174">
                  <c:v>7.6</c:v>
                </c:pt>
                <c:pt idx="175">
                  <c:v>7.6</c:v>
                </c:pt>
                <c:pt idx="176">
                  <c:v>7.6</c:v>
                </c:pt>
                <c:pt idx="177">
                  <c:v>6.5</c:v>
                </c:pt>
                <c:pt idx="178">
                  <c:v>7.8</c:v>
                </c:pt>
                <c:pt idx="179">
                  <c:v>7.8</c:v>
                </c:pt>
                <c:pt idx="180">
                  <c:v>7.8</c:v>
                </c:pt>
                <c:pt idx="181">
                  <c:v>7.8</c:v>
                </c:pt>
                <c:pt idx="182">
                  <c:v>7.8</c:v>
                </c:pt>
                <c:pt idx="183">
                  <c:v>7.8</c:v>
                </c:pt>
                <c:pt idx="184">
                  <c:v>6.8</c:v>
                </c:pt>
                <c:pt idx="185">
                  <c:v>6.8</c:v>
                </c:pt>
                <c:pt idx="186">
                  <c:v>6.7</c:v>
                </c:pt>
                <c:pt idx="187">
                  <c:v>6.3</c:v>
                </c:pt>
                <c:pt idx="188">
                  <c:v>6.7</c:v>
                </c:pt>
                <c:pt idx="189">
                  <c:v>6.5</c:v>
                </c:pt>
                <c:pt idx="190">
                  <c:v>6.7</c:v>
                </c:pt>
                <c:pt idx="191">
                  <c:v>6.4</c:v>
                </c:pt>
                <c:pt idx="192">
                  <c:v>6.5</c:v>
                </c:pt>
                <c:pt idx="193">
                  <c:v>6.5</c:v>
                </c:pt>
                <c:pt idx="194">
                  <c:v>6.5</c:v>
                </c:pt>
                <c:pt idx="195">
                  <c:v>6.5</c:v>
                </c:pt>
                <c:pt idx="196">
                  <c:v>6.5</c:v>
                </c:pt>
                <c:pt idx="197">
                  <c:v>6.5</c:v>
                </c:pt>
                <c:pt idx="198">
                  <c:v>6.5</c:v>
                </c:pt>
                <c:pt idx="199">
                  <c:v>6.5</c:v>
                </c:pt>
                <c:pt idx="200">
                  <c:v>6.5</c:v>
                </c:pt>
                <c:pt idx="201">
                  <c:v>7.8</c:v>
                </c:pt>
                <c:pt idx="202">
                  <c:v>7.8</c:v>
                </c:pt>
                <c:pt idx="203">
                  <c:v>6.9</c:v>
                </c:pt>
                <c:pt idx="204">
                  <c:v>7.6</c:v>
                </c:pt>
                <c:pt idx="205">
                  <c:v>7.7</c:v>
                </c:pt>
                <c:pt idx="206">
                  <c:v>7.7</c:v>
                </c:pt>
                <c:pt idx="207">
                  <c:v>7.7</c:v>
                </c:pt>
                <c:pt idx="208">
                  <c:v>7.7</c:v>
                </c:pt>
                <c:pt idx="209">
                  <c:v>7.8</c:v>
                </c:pt>
                <c:pt idx="210">
                  <c:v>7.7</c:v>
                </c:pt>
                <c:pt idx="211">
                  <c:v>7.8</c:v>
                </c:pt>
                <c:pt idx="212">
                  <c:v>7.8</c:v>
                </c:pt>
                <c:pt idx="213">
                  <c:v>7.8</c:v>
                </c:pt>
                <c:pt idx="214">
                  <c:v>7.8</c:v>
                </c:pt>
                <c:pt idx="215">
                  <c:v>7.8</c:v>
                </c:pt>
                <c:pt idx="216">
                  <c:v>7.8</c:v>
                </c:pt>
                <c:pt idx="217">
                  <c:v>7.8</c:v>
                </c:pt>
                <c:pt idx="218">
                  <c:v>7.8</c:v>
                </c:pt>
                <c:pt idx="219">
                  <c:v>6.5</c:v>
                </c:pt>
                <c:pt idx="220">
                  <c:v>6.6</c:v>
                </c:pt>
                <c:pt idx="221">
                  <c:v>6.4</c:v>
                </c:pt>
                <c:pt idx="222">
                  <c:v>6.3</c:v>
                </c:pt>
                <c:pt idx="223">
                  <c:v>6.4</c:v>
                </c:pt>
                <c:pt idx="224">
                  <c:v>6.6</c:v>
                </c:pt>
                <c:pt idx="225">
                  <c:v>6.3</c:v>
                </c:pt>
                <c:pt idx="226">
                  <c:v>6.6</c:v>
                </c:pt>
                <c:pt idx="227">
                  <c:v>6.3</c:v>
                </c:pt>
                <c:pt idx="228">
                  <c:v>6.6</c:v>
                </c:pt>
                <c:pt idx="229">
                  <c:v>6.3</c:v>
                </c:pt>
                <c:pt idx="230">
                  <c:v>6.6</c:v>
                </c:pt>
                <c:pt idx="231">
                  <c:v>6.3</c:v>
                </c:pt>
                <c:pt idx="232">
                  <c:v>6.6</c:v>
                </c:pt>
                <c:pt idx="233">
                  <c:v>6.3</c:v>
                </c:pt>
                <c:pt idx="234">
                  <c:v>6.6</c:v>
                </c:pt>
                <c:pt idx="235">
                  <c:v>6.3</c:v>
                </c:pt>
                <c:pt idx="236">
                  <c:v>6.4</c:v>
                </c:pt>
                <c:pt idx="237">
                  <c:v>6.5</c:v>
                </c:pt>
                <c:pt idx="238">
                  <c:v>6.3</c:v>
                </c:pt>
                <c:pt idx="239">
                  <c:v>6.4</c:v>
                </c:pt>
                <c:pt idx="240">
                  <c:v>6.5</c:v>
                </c:pt>
                <c:pt idx="241">
                  <c:v>6.3</c:v>
                </c:pt>
                <c:pt idx="242">
                  <c:v>6.4</c:v>
                </c:pt>
                <c:pt idx="243">
                  <c:v>6.5</c:v>
                </c:pt>
                <c:pt idx="244">
                  <c:v>6.3</c:v>
                </c:pt>
                <c:pt idx="245">
                  <c:v>6.5</c:v>
                </c:pt>
                <c:pt idx="246">
                  <c:v>6.3</c:v>
                </c:pt>
                <c:pt idx="247">
                  <c:v>6.8</c:v>
                </c:pt>
                <c:pt idx="248">
                  <c:v>6.4</c:v>
                </c:pt>
                <c:pt idx="249">
                  <c:v>6.5</c:v>
                </c:pt>
                <c:pt idx="250">
                  <c:v>6.8</c:v>
                </c:pt>
                <c:pt idx="251">
                  <c:v>6.8</c:v>
                </c:pt>
                <c:pt idx="252">
                  <c:v>6.5</c:v>
                </c:pt>
                <c:pt idx="253">
                  <c:v>6.5</c:v>
                </c:pt>
                <c:pt idx="254">
                  <c:v>6.5</c:v>
                </c:pt>
                <c:pt idx="255">
                  <c:v>6.5</c:v>
                </c:pt>
                <c:pt idx="256">
                  <c:v>6.6</c:v>
                </c:pt>
                <c:pt idx="257">
                  <c:v>6.6</c:v>
                </c:pt>
                <c:pt idx="258">
                  <c:v>6.6</c:v>
                </c:pt>
                <c:pt idx="259">
                  <c:v>6.6</c:v>
                </c:pt>
                <c:pt idx="260">
                  <c:v>6.6</c:v>
                </c:pt>
                <c:pt idx="261">
                  <c:v>6.6</c:v>
                </c:pt>
                <c:pt idx="262">
                  <c:v>6.6</c:v>
                </c:pt>
                <c:pt idx="263">
                  <c:v>6.9</c:v>
                </c:pt>
                <c:pt idx="264">
                  <c:v>7.3</c:v>
                </c:pt>
                <c:pt idx="265">
                  <c:v>5.9</c:v>
                </c:pt>
                <c:pt idx="266">
                  <c:v>7.3</c:v>
                </c:pt>
                <c:pt idx="267">
                  <c:v>6.2</c:v>
                </c:pt>
                <c:pt idx="268">
                  <c:v>6</c:v>
                </c:pt>
                <c:pt idx="269">
                  <c:v>6.1</c:v>
                </c:pt>
                <c:pt idx="270">
                  <c:v>6.1</c:v>
                </c:pt>
                <c:pt idx="271">
                  <c:v>6.1</c:v>
                </c:pt>
                <c:pt idx="272">
                  <c:v>6.1</c:v>
                </c:pt>
                <c:pt idx="273">
                  <c:v>6.2</c:v>
                </c:pt>
                <c:pt idx="274">
                  <c:v>6.2</c:v>
                </c:pt>
                <c:pt idx="275">
                  <c:v>6.2</c:v>
                </c:pt>
                <c:pt idx="276">
                  <c:v>8.1</c:v>
                </c:pt>
                <c:pt idx="277">
                  <c:v>8.1</c:v>
                </c:pt>
                <c:pt idx="278">
                  <c:v>6.1</c:v>
                </c:pt>
                <c:pt idx="279">
                  <c:v>8.3000000000000007</c:v>
                </c:pt>
                <c:pt idx="280">
                  <c:v>6</c:v>
                </c:pt>
                <c:pt idx="281">
                  <c:v>6.1</c:v>
                </c:pt>
                <c:pt idx="282">
                  <c:v>6</c:v>
                </c:pt>
                <c:pt idx="283">
                  <c:v>6</c:v>
                </c:pt>
                <c:pt idx="284">
                  <c:v>6</c:v>
                </c:pt>
                <c:pt idx="285">
                  <c:v>6</c:v>
                </c:pt>
                <c:pt idx="286">
                  <c:v>6</c:v>
                </c:pt>
                <c:pt idx="287">
                  <c:v>6</c:v>
                </c:pt>
                <c:pt idx="288">
                  <c:v>6</c:v>
                </c:pt>
                <c:pt idx="289">
                  <c:v>6.1</c:v>
                </c:pt>
                <c:pt idx="290">
                  <c:v>6</c:v>
                </c:pt>
                <c:pt idx="291">
                  <c:v>6.1</c:v>
                </c:pt>
                <c:pt idx="292">
                  <c:v>6.1</c:v>
                </c:pt>
                <c:pt idx="293">
                  <c:v>6</c:v>
                </c:pt>
                <c:pt idx="294">
                  <c:v>6.1</c:v>
                </c:pt>
                <c:pt idx="295">
                  <c:v>6</c:v>
                </c:pt>
                <c:pt idx="296">
                  <c:v>6.1</c:v>
                </c:pt>
                <c:pt idx="297">
                  <c:v>6.1</c:v>
                </c:pt>
                <c:pt idx="298">
                  <c:v>8.5</c:v>
                </c:pt>
                <c:pt idx="299">
                  <c:v>8.5</c:v>
                </c:pt>
                <c:pt idx="300">
                  <c:v>8.5</c:v>
                </c:pt>
                <c:pt idx="301">
                  <c:v>8.5</c:v>
                </c:pt>
                <c:pt idx="302">
                  <c:v>7.1</c:v>
                </c:pt>
                <c:pt idx="303">
                  <c:v>6</c:v>
                </c:pt>
                <c:pt idx="304">
                  <c:v>6.1</c:v>
                </c:pt>
                <c:pt idx="305">
                  <c:v>6.1</c:v>
                </c:pt>
                <c:pt idx="306">
                  <c:v>6.5</c:v>
                </c:pt>
                <c:pt idx="307">
                  <c:v>6.5</c:v>
                </c:pt>
                <c:pt idx="308">
                  <c:v>6.6</c:v>
                </c:pt>
                <c:pt idx="309">
                  <c:v>6.6</c:v>
                </c:pt>
                <c:pt idx="310">
                  <c:v>6.6</c:v>
                </c:pt>
                <c:pt idx="311">
                  <c:v>6.6</c:v>
                </c:pt>
                <c:pt idx="312">
                  <c:v>8.4</c:v>
                </c:pt>
                <c:pt idx="313">
                  <c:v>8.4</c:v>
                </c:pt>
                <c:pt idx="314">
                  <c:v>8.4</c:v>
                </c:pt>
                <c:pt idx="315">
                  <c:v>8.3000000000000007</c:v>
                </c:pt>
                <c:pt idx="316">
                  <c:v>8.5</c:v>
                </c:pt>
                <c:pt idx="317">
                  <c:v>8.5</c:v>
                </c:pt>
                <c:pt idx="318">
                  <c:v>8.4</c:v>
                </c:pt>
                <c:pt idx="319">
                  <c:v>8.4</c:v>
                </c:pt>
                <c:pt idx="320">
                  <c:v>8.5</c:v>
                </c:pt>
                <c:pt idx="321">
                  <c:v>8.4</c:v>
                </c:pt>
                <c:pt idx="322">
                  <c:v>8.4</c:v>
                </c:pt>
                <c:pt idx="323">
                  <c:v>8.5</c:v>
                </c:pt>
                <c:pt idx="324">
                  <c:v>8.3000000000000007</c:v>
                </c:pt>
                <c:pt idx="325">
                  <c:v>8.5</c:v>
                </c:pt>
                <c:pt idx="326">
                  <c:v>8.3000000000000007</c:v>
                </c:pt>
                <c:pt idx="327">
                  <c:v>8.5</c:v>
                </c:pt>
                <c:pt idx="328">
                  <c:v>8.3000000000000007</c:v>
                </c:pt>
                <c:pt idx="329">
                  <c:v>8.5</c:v>
                </c:pt>
                <c:pt idx="330">
                  <c:v>8.5</c:v>
                </c:pt>
                <c:pt idx="331">
                  <c:v>8.4</c:v>
                </c:pt>
                <c:pt idx="332">
                  <c:v>8.4</c:v>
                </c:pt>
                <c:pt idx="333">
                  <c:v>8.4</c:v>
                </c:pt>
                <c:pt idx="334">
                  <c:v>8.4</c:v>
                </c:pt>
                <c:pt idx="335">
                  <c:v>8.4</c:v>
                </c:pt>
                <c:pt idx="336">
                  <c:v>8.4</c:v>
                </c:pt>
                <c:pt idx="337">
                  <c:v>8.4</c:v>
                </c:pt>
                <c:pt idx="338">
                  <c:v>8.5</c:v>
                </c:pt>
                <c:pt idx="339">
                  <c:v>8.1</c:v>
                </c:pt>
                <c:pt idx="340">
                  <c:v>8.1</c:v>
                </c:pt>
                <c:pt idx="341">
                  <c:v>8.1999999999999993</c:v>
                </c:pt>
                <c:pt idx="342">
                  <c:v>8.1999999999999993</c:v>
                </c:pt>
                <c:pt idx="343">
                  <c:v>8.1</c:v>
                </c:pt>
                <c:pt idx="344">
                  <c:v>8.1999999999999993</c:v>
                </c:pt>
                <c:pt idx="345">
                  <c:v>8.1999999999999993</c:v>
                </c:pt>
                <c:pt idx="346">
                  <c:v>8.1999999999999993</c:v>
                </c:pt>
                <c:pt idx="347">
                  <c:v>8.1999999999999993</c:v>
                </c:pt>
                <c:pt idx="348">
                  <c:v>8.1999999999999993</c:v>
                </c:pt>
                <c:pt idx="349">
                  <c:v>8.1</c:v>
                </c:pt>
                <c:pt idx="350">
                  <c:v>8.1</c:v>
                </c:pt>
                <c:pt idx="351">
                  <c:v>8.1</c:v>
                </c:pt>
                <c:pt idx="352">
                  <c:v>8</c:v>
                </c:pt>
                <c:pt idx="353">
                  <c:v>8</c:v>
                </c:pt>
                <c:pt idx="354">
                  <c:v>8</c:v>
                </c:pt>
                <c:pt idx="355">
                  <c:v>8</c:v>
                </c:pt>
                <c:pt idx="356">
                  <c:v>8</c:v>
                </c:pt>
                <c:pt idx="357">
                  <c:v>8</c:v>
                </c:pt>
                <c:pt idx="358">
                  <c:v>8</c:v>
                </c:pt>
                <c:pt idx="359">
                  <c:v>8.1</c:v>
                </c:pt>
                <c:pt idx="360">
                  <c:v>8.1999999999999993</c:v>
                </c:pt>
                <c:pt idx="361">
                  <c:v>8.1999999999999993</c:v>
                </c:pt>
                <c:pt idx="362">
                  <c:v>8.1999999999999993</c:v>
                </c:pt>
                <c:pt idx="363">
                  <c:v>8.1999999999999993</c:v>
                </c:pt>
                <c:pt idx="364">
                  <c:v>8</c:v>
                </c:pt>
                <c:pt idx="365">
                  <c:v>8</c:v>
                </c:pt>
                <c:pt idx="366">
                  <c:v>8.1</c:v>
                </c:pt>
                <c:pt idx="367">
                  <c:v>8</c:v>
                </c:pt>
                <c:pt idx="368">
                  <c:v>8.1</c:v>
                </c:pt>
                <c:pt idx="369">
                  <c:v>8.1</c:v>
                </c:pt>
                <c:pt idx="370">
                  <c:v>8</c:v>
                </c:pt>
                <c:pt idx="371">
                  <c:v>8.1</c:v>
                </c:pt>
                <c:pt idx="372">
                  <c:v>8.1</c:v>
                </c:pt>
                <c:pt idx="373">
                  <c:v>8.1</c:v>
                </c:pt>
              </c:numCache>
            </c:numRef>
          </c:xVal>
          <c:yVal>
            <c:numRef>
              <c:f>'TABLE AND CHART'!$C$78:$C$451</c:f>
              <c:numCache>
                <c:formatCode>General</c:formatCode>
                <c:ptCount val="374"/>
                <c:pt idx="0">
                  <c:v>4200</c:v>
                </c:pt>
                <c:pt idx="1">
                  <c:v>10000</c:v>
                </c:pt>
                <c:pt idx="2">
                  <c:v>10000</c:v>
                </c:pt>
                <c:pt idx="3">
                  <c:v>3000</c:v>
                </c:pt>
                <c:pt idx="4">
                  <c:v>3000</c:v>
                </c:pt>
                <c:pt idx="5">
                  <c:v>3000</c:v>
                </c:pt>
                <c:pt idx="6">
                  <c:v>3500</c:v>
                </c:pt>
                <c:pt idx="7">
                  <c:v>8000</c:v>
                </c:pt>
                <c:pt idx="8">
                  <c:v>8000</c:v>
                </c:pt>
                <c:pt idx="9">
                  <c:v>8000</c:v>
                </c:pt>
                <c:pt idx="10">
                  <c:v>8000</c:v>
                </c:pt>
                <c:pt idx="11">
                  <c:v>8000</c:v>
                </c:pt>
                <c:pt idx="12">
                  <c:v>8000</c:v>
                </c:pt>
                <c:pt idx="13">
                  <c:v>8000</c:v>
                </c:pt>
                <c:pt idx="14">
                  <c:v>8000</c:v>
                </c:pt>
                <c:pt idx="15">
                  <c:v>8000</c:v>
                </c:pt>
                <c:pt idx="16">
                  <c:v>4000</c:v>
                </c:pt>
                <c:pt idx="17">
                  <c:v>8000</c:v>
                </c:pt>
                <c:pt idx="18">
                  <c:v>4000</c:v>
                </c:pt>
                <c:pt idx="19">
                  <c:v>8000</c:v>
                </c:pt>
                <c:pt idx="20">
                  <c:v>8000</c:v>
                </c:pt>
                <c:pt idx="21">
                  <c:v>8000</c:v>
                </c:pt>
                <c:pt idx="22">
                  <c:v>8000</c:v>
                </c:pt>
                <c:pt idx="23">
                  <c:v>8000</c:v>
                </c:pt>
                <c:pt idx="24">
                  <c:v>8000</c:v>
                </c:pt>
                <c:pt idx="25">
                  <c:v>8000</c:v>
                </c:pt>
                <c:pt idx="26">
                  <c:v>8000</c:v>
                </c:pt>
                <c:pt idx="27">
                  <c:v>8000</c:v>
                </c:pt>
                <c:pt idx="28">
                  <c:v>8000</c:v>
                </c:pt>
                <c:pt idx="29">
                  <c:v>8000</c:v>
                </c:pt>
                <c:pt idx="30">
                  <c:v>4100</c:v>
                </c:pt>
                <c:pt idx="31">
                  <c:v>4100</c:v>
                </c:pt>
                <c:pt idx="32">
                  <c:v>6800</c:v>
                </c:pt>
                <c:pt idx="33">
                  <c:v>5000</c:v>
                </c:pt>
                <c:pt idx="34">
                  <c:v>8000</c:v>
                </c:pt>
                <c:pt idx="35">
                  <c:v>5000</c:v>
                </c:pt>
                <c:pt idx="36">
                  <c:v>5000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5000</c:v>
                </c:pt>
                <c:pt idx="53">
                  <c:v>8000</c:v>
                </c:pt>
                <c:pt idx="54">
                  <c:v>5000</c:v>
                </c:pt>
                <c:pt idx="55">
                  <c:v>5000</c:v>
                </c:pt>
                <c:pt idx="56">
                  <c:v>8000</c:v>
                </c:pt>
                <c:pt idx="57">
                  <c:v>5000</c:v>
                </c:pt>
                <c:pt idx="58">
                  <c:v>5000</c:v>
                </c:pt>
                <c:pt idx="59">
                  <c:v>8000</c:v>
                </c:pt>
                <c:pt idx="60">
                  <c:v>5000</c:v>
                </c:pt>
                <c:pt idx="61">
                  <c:v>5000</c:v>
                </c:pt>
                <c:pt idx="62">
                  <c:v>5000</c:v>
                </c:pt>
                <c:pt idx="63">
                  <c:v>5000</c:v>
                </c:pt>
                <c:pt idx="64">
                  <c:v>5000</c:v>
                </c:pt>
                <c:pt idx="65">
                  <c:v>5000</c:v>
                </c:pt>
                <c:pt idx="66">
                  <c:v>7000</c:v>
                </c:pt>
                <c:pt idx="67">
                  <c:v>5000</c:v>
                </c:pt>
                <c:pt idx="68">
                  <c:v>5500</c:v>
                </c:pt>
                <c:pt idx="69">
                  <c:v>5500</c:v>
                </c:pt>
                <c:pt idx="70">
                  <c:v>5000</c:v>
                </c:pt>
                <c:pt idx="71">
                  <c:v>5000</c:v>
                </c:pt>
                <c:pt idx="72">
                  <c:v>5000</c:v>
                </c:pt>
                <c:pt idx="73">
                  <c:v>5000</c:v>
                </c:pt>
                <c:pt idx="74">
                  <c:v>5000</c:v>
                </c:pt>
                <c:pt idx="75">
                  <c:v>5000</c:v>
                </c:pt>
                <c:pt idx="76">
                  <c:v>5000</c:v>
                </c:pt>
                <c:pt idx="77">
                  <c:v>5000</c:v>
                </c:pt>
                <c:pt idx="78">
                  <c:v>5000</c:v>
                </c:pt>
                <c:pt idx="79">
                  <c:v>5000</c:v>
                </c:pt>
                <c:pt idx="80">
                  <c:v>5200</c:v>
                </c:pt>
                <c:pt idx="81">
                  <c:v>5200</c:v>
                </c:pt>
                <c:pt idx="82">
                  <c:v>5600</c:v>
                </c:pt>
                <c:pt idx="83">
                  <c:v>5600</c:v>
                </c:pt>
                <c:pt idx="84">
                  <c:v>8000</c:v>
                </c:pt>
                <c:pt idx="85">
                  <c:v>7000</c:v>
                </c:pt>
                <c:pt idx="86">
                  <c:v>5000</c:v>
                </c:pt>
                <c:pt idx="87">
                  <c:v>5000</c:v>
                </c:pt>
                <c:pt idx="88">
                  <c:v>5000</c:v>
                </c:pt>
                <c:pt idx="89">
                  <c:v>5000</c:v>
                </c:pt>
                <c:pt idx="90">
                  <c:v>5000</c:v>
                </c:pt>
                <c:pt idx="91">
                  <c:v>5000</c:v>
                </c:pt>
                <c:pt idx="92">
                  <c:v>8000</c:v>
                </c:pt>
                <c:pt idx="93">
                  <c:v>3300</c:v>
                </c:pt>
                <c:pt idx="94">
                  <c:v>7000</c:v>
                </c:pt>
                <c:pt idx="95">
                  <c:v>7000</c:v>
                </c:pt>
                <c:pt idx="96">
                  <c:v>7000</c:v>
                </c:pt>
                <c:pt idx="97">
                  <c:v>7000</c:v>
                </c:pt>
                <c:pt idx="98">
                  <c:v>7000</c:v>
                </c:pt>
                <c:pt idx="99">
                  <c:v>7000</c:v>
                </c:pt>
                <c:pt idx="100">
                  <c:v>7000</c:v>
                </c:pt>
                <c:pt idx="101">
                  <c:v>7000</c:v>
                </c:pt>
                <c:pt idx="102">
                  <c:v>7000</c:v>
                </c:pt>
                <c:pt idx="103">
                  <c:v>4800</c:v>
                </c:pt>
                <c:pt idx="104">
                  <c:v>7000</c:v>
                </c:pt>
                <c:pt idx="105">
                  <c:v>4800</c:v>
                </c:pt>
                <c:pt idx="106">
                  <c:v>4200</c:v>
                </c:pt>
                <c:pt idx="107">
                  <c:v>7000</c:v>
                </c:pt>
                <c:pt idx="108">
                  <c:v>7000</c:v>
                </c:pt>
                <c:pt idx="109">
                  <c:v>8000</c:v>
                </c:pt>
                <c:pt idx="110">
                  <c:v>7000</c:v>
                </c:pt>
                <c:pt idx="111">
                  <c:v>8000</c:v>
                </c:pt>
                <c:pt idx="112">
                  <c:v>7000</c:v>
                </c:pt>
                <c:pt idx="113">
                  <c:v>8000</c:v>
                </c:pt>
                <c:pt idx="114">
                  <c:v>7000</c:v>
                </c:pt>
                <c:pt idx="115">
                  <c:v>7000</c:v>
                </c:pt>
                <c:pt idx="116">
                  <c:v>7000</c:v>
                </c:pt>
                <c:pt idx="117">
                  <c:v>7000</c:v>
                </c:pt>
                <c:pt idx="118">
                  <c:v>7000</c:v>
                </c:pt>
                <c:pt idx="119">
                  <c:v>7000</c:v>
                </c:pt>
                <c:pt idx="120">
                  <c:v>7000</c:v>
                </c:pt>
                <c:pt idx="121">
                  <c:v>7000</c:v>
                </c:pt>
                <c:pt idx="122">
                  <c:v>7000</c:v>
                </c:pt>
                <c:pt idx="123">
                  <c:v>7000</c:v>
                </c:pt>
                <c:pt idx="124">
                  <c:v>7000</c:v>
                </c:pt>
                <c:pt idx="125">
                  <c:v>8000</c:v>
                </c:pt>
                <c:pt idx="126">
                  <c:v>8000</c:v>
                </c:pt>
                <c:pt idx="127">
                  <c:v>7000</c:v>
                </c:pt>
                <c:pt idx="128">
                  <c:v>8000</c:v>
                </c:pt>
                <c:pt idx="129">
                  <c:v>8000</c:v>
                </c:pt>
                <c:pt idx="130">
                  <c:v>7000</c:v>
                </c:pt>
                <c:pt idx="131">
                  <c:v>8000</c:v>
                </c:pt>
                <c:pt idx="132">
                  <c:v>8000</c:v>
                </c:pt>
                <c:pt idx="133">
                  <c:v>7000</c:v>
                </c:pt>
                <c:pt idx="134">
                  <c:v>8000</c:v>
                </c:pt>
                <c:pt idx="135">
                  <c:v>8000</c:v>
                </c:pt>
                <c:pt idx="136">
                  <c:v>7000</c:v>
                </c:pt>
                <c:pt idx="137">
                  <c:v>8000</c:v>
                </c:pt>
                <c:pt idx="138">
                  <c:v>7000</c:v>
                </c:pt>
                <c:pt idx="139">
                  <c:v>8000</c:v>
                </c:pt>
                <c:pt idx="140">
                  <c:v>7000</c:v>
                </c:pt>
                <c:pt idx="141">
                  <c:v>8000</c:v>
                </c:pt>
                <c:pt idx="142">
                  <c:v>7000</c:v>
                </c:pt>
                <c:pt idx="143">
                  <c:v>7000</c:v>
                </c:pt>
                <c:pt idx="144">
                  <c:v>8000</c:v>
                </c:pt>
                <c:pt idx="145">
                  <c:v>3300</c:v>
                </c:pt>
                <c:pt idx="146">
                  <c:v>8000</c:v>
                </c:pt>
                <c:pt idx="147">
                  <c:v>4000</c:v>
                </c:pt>
                <c:pt idx="148">
                  <c:v>5500</c:v>
                </c:pt>
                <c:pt idx="149">
                  <c:v>7500</c:v>
                </c:pt>
                <c:pt idx="150">
                  <c:v>7500</c:v>
                </c:pt>
                <c:pt idx="151">
                  <c:v>8000</c:v>
                </c:pt>
                <c:pt idx="152">
                  <c:v>8000</c:v>
                </c:pt>
                <c:pt idx="153">
                  <c:v>8000</c:v>
                </c:pt>
                <c:pt idx="154">
                  <c:v>8000</c:v>
                </c:pt>
                <c:pt idx="155">
                  <c:v>8000</c:v>
                </c:pt>
                <c:pt idx="156">
                  <c:v>8000</c:v>
                </c:pt>
                <c:pt idx="157">
                  <c:v>8000</c:v>
                </c:pt>
                <c:pt idx="158">
                  <c:v>8000</c:v>
                </c:pt>
                <c:pt idx="159">
                  <c:v>8000</c:v>
                </c:pt>
                <c:pt idx="160">
                  <c:v>8000</c:v>
                </c:pt>
                <c:pt idx="161">
                  <c:v>7300</c:v>
                </c:pt>
                <c:pt idx="162">
                  <c:v>7300</c:v>
                </c:pt>
                <c:pt idx="163">
                  <c:v>8000</c:v>
                </c:pt>
                <c:pt idx="164">
                  <c:v>8000</c:v>
                </c:pt>
                <c:pt idx="165">
                  <c:v>8000</c:v>
                </c:pt>
                <c:pt idx="166">
                  <c:v>6200</c:v>
                </c:pt>
                <c:pt idx="167">
                  <c:v>6000</c:v>
                </c:pt>
                <c:pt idx="168">
                  <c:v>6000</c:v>
                </c:pt>
                <c:pt idx="169">
                  <c:v>8000</c:v>
                </c:pt>
                <c:pt idx="170">
                  <c:v>8000</c:v>
                </c:pt>
                <c:pt idx="171">
                  <c:v>8000</c:v>
                </c:pt>
                <c:pt idx="172">
                  <c:v>8000</c:v>
                </c:pt>
                <c:pt idx="173">
                  <c:v>8000</c:v>
                </c:pt>
                <c:pt idx="174">
                  <c:v>8000</c:v>
                </c:pt>
                <c:pt idx="175">
                  <c:v>8000</c:v>
                </c:pt>
                <c:pt idx="176">
                  <c:v>8000</c:v>
                </c:pt>
                <c:pt idx="177">
                  <c:v>6000</c:v>
                </c:pt>
                <c:pt idx="178">
                  <c:v>8000</c:v>
                </c:pt>
                <c:pt idx="179">
                  <c:v>8000</c:v>
                </c:pt>
                <c:pt idx="180">
                  <c:v>8000</c:v>
                </c:pt>
                <c:pt idx="181">
                  <c:v>8000</c:v>
                </c:pt>
                <c:pt idx="182">
                  <c:v>8000</c:v>
                </c:pt>
                <c:pt idx="183">
                  <c:v>8000</c:v>
                </c:pt>
                <c:pt idx="184">
                  <c:v>5000</c:v>
                </c:pt>
                <c:pt idx="185">
                  <c:v>5000</c:v>
                </c:pt>
                <c:pt idx="186">
                  <c:v>6000</c:v>
                </c:pt>
                <c:pt idx="187">
                  <c:v>6000</c:v>
                </c:pt>
                <c:pt idx="188">
                  <c:v>6000</c:v>
                </c:pt>
                <c:pt idx="189">
                  <c:v>6000</c:v>
                </c:pt>
                <c:pt idx="190">
                  <c:v>6000</c:v>
                </c:pt>
                <c:pt idx="191">
                  <c:v>6000</c:v>
                </c:pt>
                <c:pt idx="192">
                  <c:v>6000</c:v>
                </c:pt>
                <c:pt idx="193">
                  <c:v>6000</c:v>
                </c:pt>
                <c:pt idx="194">
                  <c:v>6000</c:v>
                </c:pt>
                <c:pt idx="195">
                  <c:v>6000</c:v>
                </c:pt>
                <c:pt idx="196">
                  <c:v>6000</c:v>
                </c:pt>
                <c:pt idx="197">
                  <c:v>6000</c:v>
                </c:pt>
                <c:pt idx="198">
                  <c:v>6000</c:v>
                </c:pt>
                <c:pt idx="199">
                  <c:v>6000</c:v>
                </c:pt>
                <c:pt idx="200">
                  <c:v>6000</c:v>
                </c:pt>
                <c:pt idx="201">
                  <c:v>8000</c:v>
                </c:pt>
                <c:pt idx="202">
                  <c:v>8000</c:v>
                </c:pt>
                <c:pt idx="203">
                  <c:v>6800</c:v>
                </c:pt>
                <c:pt idx="204">
                  <c:v>6800</c:v>
                </c:pt>
                <c:pt idx="205">
                  <c:v>8000</c:v>
                </c:pt>
                <c:pt idx="206">
                  <c:v>8000</c:v>
                </c:pt>
                <c:pt idx="207">
                  <c:v>8000</c:v>
                </c:pt>
                <c:pt idx="208">
                  <c:v>8000</c:v>
                </c:pt>
                <c:pt idx="209">
                  <c:v>8000</c:v>
                </c:pt>
                <c:pt idx="210">
                  <c:v>8000</c:v>
                </c:pt>
                <c:pt idx="211">
                  <c:v>8000</c:v>
                </c:pt>
                <c:pt idx="212">
                  <c:v>8000</c:v>
                </c:pt>
                <c:pt idx="213">
                  <c:v>8000</c:v>
                </c:pt>
                <c:pt idx="214">
                  <c:v>8000</c:v>
                </c:pt>
                <c:pt idx="215">
                  <c:v>8000</c:v>
                </c:pt>
                <c:pt idx="216">
                  <c:v>8000</c:v>
                </c:pt>
                <c:pt idx="217">
                  <c:v>8000</c:v>
                </c:pt>
                <c:pt idx="218">
                  <c:v>8000</c:v>
                </c:pt>
                <c:pt idx="219">
                  <c:v>6000</c:v>
                </c:pt>
                <c:pt idx="220">
                  <c:v>6000</c:v>
                </c:pt>
                <c:pt idx="221">
                  <c:v>6000</c:v>
                </c:pt>
                <c:pt idx="222">
                  <c:v>6000</c:v>
                </c:pt>
                <c:pt idx="223">
                  <c:v>6000</c:v>
                </c:pt>
                <c:pt idx="224">
                  <c:v>6000</c:v>
                </c:pt>
                <c:pt idx="225">
                  <c:v>6000</c:v>
                </c:pt>
                <c:pt idx="226">
                  <c:v>6000</c:v>
                </c:pt>
                <c:pt idx="227">
                  <c:v>6000</c:v>
                </c:pt>
                <c:pt idx="228">
                  <c:v>6000</c:v>
                </c:pt>
                <c:pt idx="229">
                  <c:v>6000</c:v>
                </c:pt>
                <c:pt idx="230">
                  <c:v>6000</c:v>
                </c:pt>
                <c:pt idx="231">
                  <c:v>6000</c:v>
                </c:pt>
                <c:pt idx="232">
                  <c:v>6000</c:v>
                </c:pt>
                <c:pt idx="233">
                  <c:v>6000</c:v>
                </c:pt>
                <c:pt idx="234">
                  <c:v>6000</c:v>
                </c:pt>
                <c:pt idx="235">
                  <c:v>6000</c:v>
                </c:pt>
                <c:pt idx="236">
                  <c:v>6000</c:v>
                </c:pt>
                <c:pt idx="237">
                  <c:v>6000</c:v>
                </c:pt>
                <c:pt idx="238">
                  <c:v>6000</c:v>
                </c:pt>
                <c:pt idx="239">
                  <c:v>6000</c:v>
                </c:pt>
                <c:pt idx="240">
                  <c:v>6000</c:v>
                </c:pt>
                <c:pt idx="241">
                  <c:v>6000</c:v>
                </c:pt>
                <c:pt idx="242">
                  <c:v>6000</c:v>
                </c:pt>
                <c:pt idx="243">
                  <c:v>6000</c:v>
                </c:pt>
                <c:pt idx="244">
                  <c:v>6000</c:v>
                </c:pt>
                <c:pt idx="245">
                  <c:v>6000</c:v>
                </c:pt>
                <c:pt idx="246">
                  <c:v>6000</c:v>
                </c:pt>
                <c:pt idx="247">
                  <c:v>5000</c:v>
                </c:pt>
                <c:pt idx="248">
                  <c:v>6000</c:v>
                </c:pt>
                <c:pt idx="249">
                  <c:v>6000</c:v>
                </c:pt>
                <c:pt idx="250">
                  <c:v>6000</c:v>
                </c:pt>
                <c:pt idx="251">
                  <c:v>6000</c:v>
                </c:pt>
                <c:pt idx="252">
                  <c:v>6000</c:v>
                </c:pt>
                <c:pt idx="253">
                  <c:v>6000</c:v>
                </c:pt>
                <c:pt idx="254">
                  <c:v>6000</c:v>
                </c:pt>
                <c:pt idx="255">
                  <c:v>6000</c:v>
                </c:pt>
                <c:pt idx="256">
                  <c:v>6000</c:v>
                </c:pt>
                <c:pt idx="257">
                  <c:v>6000</c:v>
                </c:pt>
                <c:pt idx="258">
                  <c:v>6000</c:v>
                </c:pt>
                <c:pt idx="259">
                  <c:v>6000</c:v>
                </c:pt>
                <c:pt idx="260">
                  <c:v>6000</c:v>
                </c:pt>
                <c:pt idx="261">
                  <c:v>6000</c:v>
                </c:pt>
                <c:pt idx="262">
                  <c:v>6000</c:v>
                </c:pt>
                <c:pt idx="263">
                  <c:v>5500</c:v>
                </c:pt>
                <c:pt idx="264">
                  <c:v>3500</c:v>
                </c:pt>
                <c:pt idx="265">
                  <c:v>10000</c:v>
                </c:pt>
                <c:pt idx="266">
                  <c:v>3500</c:v>
                </c:pt>
                <c:pt idx="267">
                  <c:v>10000</c:v>
                </c:pt>
                <c:pt idx="268">
                  <c:v>10000</c:v>
                </c:pt>
                <c:pt idx="269">
                  <c:v>10000</c:v>
                </c:pt>
                <c:pt idx="270">
                  <c:v>10000</c:v>
                </c:pt>
                <c:pt idx="271">
                  <c:v>10000</c:v>
                </c:pt>
                <c:pt idx="272">
                  <c:v>10000</c:v>
                </c:pt>
                <c:pt idx="273">
                  <c:v>10000</c:v>
                </c:pt>
                <c:pt idx="274">
                  <c:v>10000</c:v>
                </c:pt>
                <c:pt idx="275">
                  <c:v>10000</c:v>
                </c:pt>
                <c:pt idx="276">
                  <c:v>3700</c:v>
                </c:pt>
                <c:pt idx="277">
                  <c:v>3700</c:v>
                </c:pt>
                <c:pt idx="278">
                  <c:v>10000</c:v>
                </c:pt>
                <c:pt idx="279">
                  <c:v>5000</c:v>
                </c:pt>
                <c:pt idx="280">
                  <c:v>10000</c:v>
                </c:pt>
                <c:pt idx="281">
                  <c:v>10000</c:v>
                </c:pt>
                <c:pt idx="282">
                  <c:v>10000</c:v>
                </c:pt>
                <c:pt idx="283">
                  <c:v>10000</c:v>
                </c:pt>
                <c:pt idx="284">
                  <c:v>10000</c:v>
                </c:pt>
                <c:pt idx="285">
                  <c:v>10000</c:v>
                </c:pt>
                <c:pt idx="286">
                  <c:v>10000</c:v>
                </c:pt>
                <c:pt idx="287">
                  <c:v>10000</c:v>
                </c:pt>
                <c:pt idx="288">
                  <c:v>10000</c:v>
                </c:pt>
                <c:pt idx="289">
                  <c:v>10000</c:v>
                </c:pt>
                <c:pt idx="290">
                  <c:v>10000</c:v>
                </c:pt>
                <c:pt idx="291">
                  <c:v>10000</c:v>
                </c:pt>
                <c:pt idx="292">
                  <c:v>10000</c:v>
                </c:pt>
                <c:pt idx="293">
                  <c:v>10000</c:v>
                </c:pt>
                <c:pt idx="294">
                  <c:v>10000</c:v>
                </c:pt>
                <c:pt idx="295">
                  <c:v>10000</c:v>
                </c:pt>
                <c:pt idx="296">
                  <c:v>10000</c:v>
                </c:pt>
                <c:pt idx="297">
                  <c:v>10000</c:v>
                </c:pt>
                <c:pt idx="298">
                  <c:v>5000</c:v>
                </c:pt>
                <c:pt idx="299">
                  <c:v>5000</c:v>
                </c:pt>
                <c:pt idx="300">
                  <c:v>5000</c:v>
                </c:pt>
                <c:pt idx="301">
                  <c:v>5000</c:v>
                </c:pt>
                <c:pt idx="302">
                  <c:v>6000</c:v>
                </c:pt>
                <c:pt idx="303">
                  <c:v>10000</c:v>
                </c:pt>
                <c:pt idx="304">
                  <c:v>10000</c:v>
                </c:pt>
                <c:pt idx="305">
                  <c:v>10000</c:v>
                </c:pt>
                <c:pt idx="306">
                  <c:v>6000</c:v>
                </c:pt>
                <c:pt idx="307">
                  <c:v>6000</c:v>
                </c:pt>
                <c:pt idx="308">
                  <c:v>6000</c:v>
                </c:pt>
                <c:pt idx="309">
                  <c:v>6000</c:v>
                </c:pt>
                <c:pt idx="310">
                  <c:v>6000</c:v>
                </c:pt>
                <c:pt idx="311">
                  <c:v>6000</c:v>
                </c:pt>
                <c:pt idx="312">
                  <c:v>5000</c:v>
                </c:pt>
                <c:pt idx="313">
                  <c:v>5000</c:v>
                </c:pt>
                <c:pt idx="314">
                  <c:v>5000</c:v>
                </c:pt>
                <c:pt idx="315">
                  <c:v>5000</c:v>
                </c:pt>
                <c:pt idx="316">
                  <c:v>5000</c:v>
                </c:pt>
                <c:pt idx="317">
                  <c:v>5000</c:v>
                </c:pt>
                <c:pt idx="318">
                  <c:v>5000</c:v>
                </c:pt>
                <c:pt idx="319">
                  <c:v>5000</c:v>
                </c:pt>
                <c:pt idx="320">
                  <c:v>5000</c:v>
                </c:pt>
                <c:pt idx="321">
                  <c:v>5000</c:v>
                </c:pt>
                <c:pt idx="322">
                  <c:v>5000</c:v>
                </c:pt>
                <c:pt idx="323">
                  <c:v>5000</c:v>
                </c:pt>
                <c:pt idx="324">
                  <c:v>5000</c:v>
                </c:pt>
                <c:pt idx="325">
                  <c:v>5000</c:v>
                </c:pt>
                <c:pt idx="326">
                  <c:v>5000</c:v>
                </c:pt>
                <c:pt idx="327">
                  <c:v>5000</c:v>
                </c:pt>
                <c:pt idx="328">
                  <c:v>5000</c:v>
                </c:pt>
                <c:pt idx="329">
                  <c:v>5000</c:v>
                </c:pt>
                <c:pt idx="330">
                  <c:v>5000</c:v>
                </c:pt>
                <c:pt idx="331">
                  <c:v>5000</c:v>
                </c:pt>
                <c:pt idx="332">
                  <c:v>5000</c:v>
                </c:pt>
                <c:pt idx="333">
                  <c:v>5000</c:v>
                </c:pt>
                <c:pt idx="334">
                  <c:v>5000</c:v>
                </c:pt>
                <c:pt idx="335">
                  <c:v>5000</c:v>
                </c:pt>
                <c:pt idx="336">
                  <c:v>5000</c:v>
                </c:pt>
                <c:pt idx="337">
                  <c:v>5000</c:v>
                </c:pt>
                <c:pt idx="338">
                  <c:v>5000</c:v>
                </c:pt>
                <c:pt idx="339">
                  <c:v>5000</c:v>
                </c:pt>
                <c:pt idx="340">
                  <c:v>5000</c:v>
                </c:pt>
                <c:pt idx="341">
                  <c:v>10000</c:v>
                </c:pt>
                <c:pt idx="342">
                  <c:v>10000</c:v>
                </c:pt>
                <c:pt idx="343">
                  <c:v>7000</c:v>
                </c:pt>
                <c:pt idx="344">
                  <c:v>7000</c:v>
                </c:pt>
                <c:pt idx="345">
                  <c:v>7000</c:v>
                </c:pt>
                <c:pt idx="346">
                  <c:v>7000</c:v>
                </c:pt>
                <c:pt idx="347">
                  <c:v>7000</c:v>
                </c:pt>
                <c:pt idx="348">
                  <c:v>7000</c:v>
                </c:pt>
                <c:pt idx="349">
                  <c:v>7000</c:v>
                </c:pt>
                <c:pt idx="350">
                  <c:v>7000</c:v>
                </c:pt>
                <c:pt idx="351">
                  <c:v>7000</c:v>
                </c:pt>
                <c:pt idx="352">
                  <c:v>7000</c:v>
                </c:pt>
                <c:pt idx="353">
                  <c:v>7000</c:v>
                </c:pt>
                <c:pt idx="354">
                  <c:v>7000</c:v>
                </c:pt>
                <c:pt idx="355">
                  <c:v>7000</c:v>
                </c:pt>
                <c:pt idx="356">
                  <c:v>7000</c:v>
                </c:pt>
                <c:pt idx="357">
                  <c:v>7000</c:v>
                </c:pt>
                <c:pt idx="358">
                  <c:v>7000</c:v>
                </c:pt>
                <c:pt idx="359">
                  <c:v>7000</c:v>
                </c:pt>
                <c:pt idx="360">
                  <c:v>7000</c:v>
                </c:pt>
                <c:pt idx="361">
                  <c:v>7000</c:v>
                </c:pt>
                <c:pt idx="362">
                  <c:v>7000</c:v>
                </c:pt>
                <c:pt idx="363">
                  <c:v>7000</c:v>
                </c:pt>
                <c:pt idx="364">
                  <c:v>7000</c:v>
                </c:pt>
                <c:pt idx="365">
                  <c:v>7000</c:v>
                </c:pt>
                <c:pt idx="366">
                  <c:v>7000</c:v>
                </c:pt>
                <c:pt idx="367">
                  <c:v>7000</c:v>
                </c:pt>
                <c:pt idx="368">
                  <c:v>7000</c:v>
                </c:pt>
                <c:pt idx="369">
                  <c:v>7000</c:v>
                </c:pt>
                <c:pt idx="370">
                  <c:v>7000</c:v>
                </c:pt>
                <c:pt idx="371">
                  <c:v>7000</c:v>
                </c:pt>
                <c:pt idx="372">
                  <c:v>7000</c:v>
                </c:pt>
                <c:pt idx="373">
                  <c:v>7000</c:v>
                </c:pt>
              </c:numCache>
            </c:numRef>
          </c:yVal>
          <c:smooth val="0"/>
          <c:extLst>
            <c:ext xmlns:c16="http://schemas.microsoft.com/office/drawing/2014/chart" uri="{C3380CC4-5D6E-409C-BE32-E72D297353CC}">
              <c16:uniqueId val="{00000000-38CB-4713-830D-17B6F778F0AB}"/>
            </c:ext>
          </c:extLst>
        </c:ser>
        <c:dLbls>
          <c:showLegendKey val="0"/>
          <c:showVal val="0"/>
          <c:showCatName val="0"/>
          <c:showSerName val="0"/>
          <c:showPercent val="0"/>
          <c:showBubbleSize val="0"/>
        </c:dLbls>
        <c:axId val="118093071"/>
        <c:axId val="1044617391"/>
      </c:scatterChart>
      <c:valAx>
        <c:axId val="118093071"/>
        <c:scaling>
          <c:orientation val="minMax"/>
          <c:min val="5.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Sleep</a:t>
                </a:r>
                <a:r>
                  <a:rPr lang="en-IN" baseline="0"/>
                  <a:t> Duration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17391"/>
        <c:crosses val="autoZero"/>
        <c:crossBetween val="midCat"/>
      </c:valAx>
      <c:valAx>
        <c:axId val="1044617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Daily</a:t>
                </a:r>
                <a:r>
                  <a:rPr lang="en-IN" baseline="0"/>
                  <a:t> Steps</a:t>
                </a: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30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AND CHART'!$M$103</c:f>
              <c:strCache>
                <c:ptCount val="1"/>
                <c:pt idx="0">
                  <c:v>Total</c:v>
                </c:pt>
              </c:strCache>
            </c:strRef>
          </c:tx>
          <c:spPr>
            <a:solidFill>
              <a:schemeClr val="accent1"/>
            </a:solidFill>
            <a:ln>
              <a:noFill/>
            </a:ln>
            <a:effectLst/>
          </c:spPr>
          <c:invertIfNegative val="0"/>
          <c:cat>
            <c:strRef>
              <c:f>'TABLE AND CHART'!$L$104:$L$106</c:f>
              <c:strCache>
                <c:ptCount val="2"/>
                <c:pt idx="0">
                  <c:v>Female</c:v>
                </c:pt>
                <c:pt idx="1">
                  <c:v>Male</c:v>
                </c:pt>
              </c:strCache>
            </c:strRef>
          </c:cat>
          <c:val>
            <c:numRef>
              <c:f>'TABLE AND CHART'!$M$104:$M$106</c:f>
              <c:numCache>
                <c:formatCode>General</c:formatCode>
                <c:ptCount val="2"/>
                <c:pt idx="0">
                  <c:v>7.6648648648648647</c:v>
                </c:pt>
                <c:pt idx="1">
                  <c:v>6.9682539682539684</c:v>
                </c:pt>
              </c:numCache>
            </c:numRef>
          </c:val>
          <c:extLst>
            <c:ext xmlns:c16="http://schemas.microsoft.com/office/drawing/2014/chart" uri="{C3380CC4-5D6E-409C-BE32-E72D297353CC}">
              <c16:uniqueId val="{00000000-E27D-4075-906F-0C1EC0F99A28}"/>
            </c:ext>
          </c:extLst>
        </c:ser>
        <c:dLbls>
          <c:showLegendKey val="0"/>
          <c:showVal val="0"/>
          <c:showCatName val="0"/>
          <c:showSerName val="0"/>
          <c:showPercent val="0"/>
          <c:showBubbleSize val="0"/>
        </c:dLbls>
        <c:gapWidth val="219"/>
        <c:overlap val="-27"/>
        <c:axId val="798297775"/>
        <c:axId val="199743712"/>
      </c:barChart>
      <c:catAx>
        <c:axId val="79829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3712"/>
        <c:crosses val="autoZero"/>
        <c:auto val="1"/>
        <c:lblAlgn val="ctr"/>
        <c:lblOffset val="100"/>
        <c:noMultiLvlLbl val="0"/>
      </c:catAx>
      <c:valAx>
        <c:axId val="19974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Quality of Sleep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9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'TABLE AND CHART'!$M$125</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'TABLE AND CHART'!$L$126:$L$130</c:f>
              <c:strCache>
                <c:ptCount val="4"/>
                <c:pt idx="0">
                  <c:v>Normal</c:v>
                </c:pt>
                <c:pt idx="1">
                  <c:v>Normal Weight</c:v>
                </c:pt>
                <c:pt idx="2">
                  <c:v>Obese</c:v>
                </c:pt>
                <c:pt idx="3">
                  <c:v>Overweight</c:v>
                </c:pt>
              </c:strCache>
            </c:strRef>
          </c:cat>
          <c:val>
            <c:numRef>
              <c:f>'TABLE AND CHART'!$M$126:$M$130</c:f>
              <c:numCache>
                <c:formatCode>General</c:formatCode>
                <c:ptCount val="4"/>
                <c:pt idx="0">
                  <c:v>195</c:v>
                </c:pt>
                <c:pt idx="1">
                  <c:v>21</c:v>
                </c:pt>
                <c:pt idx="2">
                  <c:v>10</c:v>
                </c:pt>
                <c:pt idx="3">
                  <c:v>148</c:v>
                </c:pt>
              </c:numCache>
            </c:numRef>
          </c:val>
          <c:extLst>
            <c:ext xmlns:c16="http://schemas.microsoft.com/office/drawing/2014/chart" uri="{C3380CC4-5D6E-409C-BE32-E72D297353CC}">
              <c16:uniqueId val="{00000000-30C9-4A27-9539-3F6246716F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s>
    <c:plotArea>
      <c:layout/>
      <c:doughnutChart>
        <c:varyColors val="1"/>
        <c:ser>
          <c:idx val="0"/>
          <c:order val="0"/>
          <c:tx>
            <c:strRef>
              <c:f>'TABLE AND CHART'!$M$25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330-4E36-AC8B-005FAF79ADF8}"/>
              </c:ext>
            </c:extLst>
          </c:dPt>
          <c:dPt>
            <c:idx val="1"/>
            <c:bubble3D val="0"/>
            <c:spPr>
              <a:solidFill>
                <a:schemeClr val="accent2"/>
              </a:solidFill>
              <a:ln>
                <a:noFill/>
              </a:ln>
              <a:effectLst/>
            </c:spPr>
            <c:extLst>
              <c:ext xmlns:c16="http://schemas.microsoft.com/office/drawing/2014/chart" uri="{C3380CC4-5D6E-409C-BE32-E72D297353CC}">
                <c16:uniqueId val="{00000003-7330-4E36-AC8B-005FAF79ADF8}"/>
              </c:ext>
            </c:extLst>
          </c:dPt>
          <c:dPt>
            <c:idx val="2"/>
            <c:bubble3D val="0"/>
            <c:spPr>
              <a:solidFill>
                <a:schemeClr val="accent3"/>
              </a:solidFill>
              <a:ln>
                <a:noFill/>
              </a:ln>
              <a:effectLst/>
            </c:spPr>
            <c:extLst>
              <c:ext xmlns:c16="http://schemas.microsoft.com/office/drawing/2014/chart" uri="{C3380CC4-5D6E-409C-BE32-E72D297353CC}">
                <c16:uniqueId val="{00000005-7330-4E36-AC8B-005FAF79ADF8}"/>
              </c:ext>
            </c:extLst>
          </c:dPt>
          <c:cat>
            <c:strRef>
              <c:f>'TABLE AND CHART'!$L$26:$L$29</c:f>
              <c:strCache>
                <c:ptCount val="3"/>
                <c:pt idx="0">
                  <c:v>Insomnia</c:v>
                </c:pt>
                <c:pt idx="1">
                  <c:v>None</c:v>
                </c:pt>
                <c:pt idx="2">
                  <c:v>Sleep Apnea</c:v>
                </c:pt>
              </c:strCache>
            </c:strRef>
          </c:cat>
          <c:val>
            <c:numRef>
              <c:f>'TABLE AND CHART'!$M$26:$M$29</c:f>
              <c:numCache>
                <c:formatCode>General</c:formatCode>
                <c:ptCount val="3"/>
                <c:pt idx="0">
                  <c:v>77</c:v>
                </c:pt>
                <c:pt idx="1">
                  <c:v>219</c:v>
                </c:pt>
                <c:pt idx="2">
                  <c:v>78</c:v>
                </c:pt>
              </c:numCache>
            </c:numRef>
          </c:val>
          <c:extLst>
            <c:ext xmlns:c16="http://schemas.microsoft.com/office/drawing/2014/chart" uri="{C3380CC4-5D6E-409C-BE32-E72D297353CC}">
              <c16:uniqueId val="{00000001-AA04-458C-9887-9B14BE178F3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'TABLE AND CHART'!$N$39</c:f>
              <c:strCache>
                <c:ptCount val="1"/>
                <c:pt idx="0">
                  <c:v>Total</c:v>
                </c:pt>
              </c:strCache>
            </c:strRef>
          </c:tx>
          <c:spPr>
            <a:solidFill>
              <a:schemeClr val="accent1"/>
            </a:solidFill>
            <a:ln>
              <a:noFill/>
            </a:ln>
            <a:effectLst/>
          </c:spPr>
          <c:invertIfNegative val="0"/>
          <c:cat>
            <c:strRef>
              <c:f>'TABLE AND CHART'!$M$40:$M$51</c:f>
              <c:strCache>
                <c:ptCount val="11"/>
                <c:pt idx="0">
                  <c:v>Sales Representative</c:v>
                </c:pt>
                <c:pt idx="1">
                  <c:v>Scientist</c:v>
                </c:pt>
                <c:pt idx="2">
                  <c:v>Salesperson</c:v>
                </c:pt>
                <c:pt idx="3">
                  <c:v>Teacher</c:v>
                </c:pt>
                <c:pt idx="4">
                  <c:v>Software Engineer</c:v>
                </c:pt>
                <c:pt idx="5">
                  <c:v>Manager</c:v>
                </c:pt>
                <c:pt idx="6">
                  <c:v>Doctor</c:v>
                </c:pt>
                <c:pt idx="7">
                  <c:v>Nurse</c:v>
                </c:pt>
                <c:pt idx="8">
                  <c:v>Accountant</c:v>
                </c:pt>
                <c:pt idx="9">
                  <c:v>Lawyer</c:v>
                </c:pt>
                <c:pt idx="10">
                  <c:v>Engineer</c:v>
                </c:pt>
              </c:strCache>
            </c:strRef>
          </c:cat>
          <c:val>
            <c:numRef>
              <c:f>'TABLE AND CHART'!$N$40:$N$51</c:f>
              <c:numCache>
                <c:formatCode>General</c:formatCode>
                <c:ptCount val="11"/>
                <c:pt idx="0">
                  <c:v>5.9</c:v>
                </c:pt>
                <c:pt idx="1">
                  <c:v>6</c:v>
                </c:pt>
                <c:pt idx="2">
                  <c:v>6.4031250000000037</c:v>
                </c:pt>
                <c:pt idx="3">
                  <c:v>6.69</c:v>
                </c:pt>
                <c:pt idx="4">
                  <c:v>6.75</c:v>
                </c:pt>
                <c:pt idx="5">
                  <c:v>6.9</c:v>
                </c:pt>
                <c:pt idx="6">
                  <c:v>6.9704225352112683</c:v>
                </c:pt>
                <c:pt idx="7">
                  <c:v>7.0630136986301375</c:v>
                </c:pt>
                <c:pt idx="8">
                  <c:v>7.1135135135135128</c:v>
                </c:pt>
                <c:pt idx="9">
                  <c:v>7.4106382978723397</c:v>
                </c:pt>
                <c:pt idx="10">
                  <c:v>7.9873015873015847</c:v>
                </c:pt>
              </c:numCache>
            </c:numRef>
          </c:val>
          <c:extLst>
            <c:ext xmlns:c16="http://schemas.microsoft.com/office/drawing/2014/chart" uri="{C3380CC4-5D6E-409C-BE32-E72D297353CC}">
              <c16:uniqueId val="{00000004-C6C9-4336-B8FF-983101CCD13B}"/>
            </c:ext>
          </c:extLst>
        </c:ser>
        <c:dLbls>
          <c:showLegendKey val="0"/>
          <c:showVal val="0"/>
          <c:showCatName val="0"/>
          <c:showSerName val="0"/>
          <c:showPercent val="0"/>
          <c:showBubbleSize val="0"/>
        </c:dLbls>
        <c:gapWidth val="219"/>
        <c:axId val="148641776"/>
        <c:axId val="148638416"/>
      </c:barChart>
      <c:catAx>
        <c:axId val="14864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8638416"/>
        <c:crosses val="autoZero"/>
        <c:auto val="1"/>
        <c:lblAlgn val="ctr"/>
        <c:lblOffset val="100"/>
        <c:noMultiLvlLbl val="0"/>
      </c:catAx>
      <c:valAx>
        <c:axId val="14863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1776"/>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AND CHART'!$C$60</c:f>
              <c:strCache>
                <c:ptCount val="1"/>
                <c:pt idx="0">
                  <c:v>Total</c:v>
                </c:pt>
              </c:strCache>
            </c:strRef>
          </c:tx>
          <c:spPr>
            <a:solidFill>
              <a:schemeClr val="accent1"/>
            </a:solidFill>
            <a:ln>
              <a:noFill/>
            </a:ln>
            <a:effectLst/>
          </c:spPr>
          <c:invertIfNegative val="0"/>
          <c:cat>
            <c:strRef>
              <c:f>'TABLE AND CHART'!$B$61:$B$72</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'TABLE AND CHART'!$C$61:$C$72</c:f>
              <c:numCache>
                <c:formatCode>General</c:formatCode>
                <c:ptCount val="11"/>
                <c:pt idx="0">
                  <c:v>4.5945945945945947</c:v>
                </c:pt>
                <c:pt idx="1">
                  <c:v>6.732394366197183</c:v>
                </c:pt>
                <c:pt idx="2">
                  <c:v>3.8888888888888888</c:v>
                </c:pt>
                <c:pt idx="3">
                  <c:v>5.0638297872340425</c:v>
                </c:pt>
                <c:pt idx="4">
                  <c:v>5</c:v>
                </c:pt>
                <c:pt idx="5">
                  <c:v>5.5479452054794525</c:v>
                </c:pt>
                <c:pt idx="6">
                  <c:v>8</c:v>
                </c:pt>
                <c:pt idx="7">
                  <c:v>7</c:v>
                </c:pt>
                <c:pt idx="8">
                  <c:v>7</c:v>
                </c:pt>
                <c:pt idx="9">
                  <c:v>6</c:v>
                </c:pt>
                <c:pt idx="10">
                  <c:v>4.5250000000000004</c:v>
                </c:pt>
              </c:numCache>
            </c:numRef>
          </c:val>
          <c:extLst>
            <c:ext xmlns:c16="http://schemas.microsoft.com/office/drawing/2014/chart" uri="{C3380CC4-5D6E-409C-BE32-E72D297353CC}">
              <c16:uniqueId val="{00000000-A33A-4968-91DB-6BF13F5F33E7}"/>
            </c:ext>
          </c:extLst>
        </c:ser>
        <c:dLbls>
          <c:showLegendKey val="0"/>
          <c:showVal val="0"/>
          <c:showCatName val="0"/>
          <c:showSerName val="0"/>
          <c:showPercent val="0"/>
          <c:showBubbleSize val="0"/>
        </c:dLbls>
        <c:gapWidth val="219"/>
        <c:overlap val="-27"/>
        <c:axId val="163138320"/>
        <c:axId val="163138800"/>
      </c:barChart>
      <c:catAx>
        <c:axId val="16313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38800"/>
        <c:crosses val="autoZero"/>
        <c:auto val="1"/>
        <c:lblAlgn val="ctr"/>
        <c:lblOffset val="100"/>
        <c:noMultiLvlLbl val="0"/>
      </c:catAx>
      <c:valAx>
        <c:axId val="16313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3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Steps vs Sleep 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 AND CHART'!$C$77</c:f>
              <c:strCache>
                <c:ptCount val="1"/>
                <c:pt idx="0">
                  <c:v>Daily Steps</c:v>
                </c:pt>
              </c:strCache>
            </c:strRef>
          </c:tx>
          <c:spPr>
            <a:ln w="19050" cap="rnd">
              <a:noFill/>
              <a:round/>
            </a:ln>
            <a:effectLst/>
          </c:spPr>
          <c:marker>
            <c:symbol val="circle"/>
            <c:size val="5"/>
            <c:spPr>
              <a:solidFill>
                <a:schemeClr val="accent1"/>
              </a:solidFill>
              <a:ln w="9525">
                <a:solidFill>
                  <a:schemeClr val="accent1"/>
                </a:solidFill>
              </a:ln>
              <a:effectLst/>
            </c:spPr>
          </c:marker>
          <c:xVal>
            <c:numRef>
              <c:f>'TABLE AND CHART'!$B$78:$B$451</c:f>
              <c:numCache>
                <c:formatCode>General</c:formatCode>
                <c:ptCount val="374"/>
                <c:pt idx="0">
                  <c:v>6.1</c:v>
                </c:pt>
                <c:pt idx="1">
                  <c:v>6.2</c:v>
                </c:pt>
                <c:pt idx="2">
                  <c:v>6.2</c:v>
                </c:pt>
                <c:pt idx="3">
                  <c:v>5.9</c:v>
                </c:pt>
                <c:pt idx="4">
                  <c:v>5.9</c:v>
                </c:pt>
                <c:pt idx="5">
                  <c:v>5.9</c:v>
                </c:pt>
                <c:pt idx="6">
                  <c:v>6.3</c:v>
                </c:pt>
                <c:pt idx="7">
                  <c:v>7.8</c:v>
                </c:pt>
                <c:pt idx="8">
                  <c:v>7.8</c:v>
                </c:pt>
                <c:pt idx="9">
                  <c:v>7.8</c:v>
                </c:pt>
                <c:pt idx="10">
                  <c:v>6.1</c:v>
                </c:pt>
                <c:pt idx="11">
                  <c:v>7.8</c:v>
                </c:pt>
                <c:pt idx="12">
                  <c:v>6.1</c:v>
                </c:pt>
                <c:pt idx="13">
                  <c:v>6</c:v>
                </c:pt>
                <c:pt idx="14">
                  <c:v>6</c:v>
                </c:pt>
                <c:pt idx="15">
                  <c:v>6</c:v>
                </c:pt>
                <c:pt idx="16">
                  <c:v>6.5</c:v>
                </c:pt>
                <c:pt idx="17">
                  <c:v>6</c:v>
                </c:pt>
                <c:pt idx="18">
                  <c:v>6.5</c:v>
                </c:pt>
                <c:pt idx="19">
                  <c:v>7.6</c:v>
                </c:pt>
                <c:pt idx="20">
                  <c:v>7.7</c:v>
                </c:pt>
                <c:pt idx="21">
                  <c:v>7.7</c:v>
                </c:pt>
                <c:pt idx="22">
                  <c:v>7.7</c:v>
                </c:pt>
                <c:pt idx="23">
                  <c:v>7.7</c:v>
                </c:pt>
                <c:pt idx="24">
                  <c:v>7.8</c:v>
                </c:pt>
                <c:pt idx="25">
                  <c:v>7.9</c:v>
                </c:pt>
                <c:pt idx="26">
                  <c:v>7.8</c:v>
                </c:pt>
                <c:pt idx="27">
                  <c:v>7.9</c:v>
                </c:pt>
                <c:pt idx="28">
                  <c:v>7.9</c:v>
                </c:pt>
                <c:pt idx="29">
                  <c:v>7.9</c:v>
                </c:pt>
                <c:pt idx="30">
                  <c:v>6.4</c:v>
                </c:pt>
                <c:pt idx="31">
                  <c:v>6.4</c:v>
                </c:pt>
                <c:pt idx="32">
                  <c:v>7.9</c:v>
                </c:pt>
                <c:pt idx="33">
                  <c:v>6.1</c:v>
                </c:pt>
                <c:pt idx="34">
                  <c:v>7.7</c:v>
                </c:pt>
                <c:pt idx="35">
                  <c:v>6.1</c:v>
                </c:pt>
                <c:pt idx="36">
                  <c:v>6.1</c:v>
                </c:pt>
                <c:pt idx="37">
                  <c:v>7.6</c:v>
                </c:pt>
                <c:pt idx="38">
                  <c:v>7.6</c:v>
                </c:pt>
                <c:pt idx="39">
                  <c:v>7.6</c:v>
                </c:pt>
                <c:pt idx="40">
                  <c:v>7.7</c:v>
                </c:pt>
                <c:pt idx="41">
                  <c:v>7.7</c:v>
                </c:pt>
                <c:pt idx="42">
                  <c:v>7.7</c:v>
                </c:pt>
                <c:pt idx="43">
                  <c:v>7.8</c:v>
                </c:pt>
                <c:pt idx="44">
                  <c:v>7.7</c:v>
                </c:pt>
                <c:pt idx="45">
                  <c:v>7.8</c:v>
                </c:pt>
                <c:pt idx="46">
                  <c:v>7.7</c:v>
                </c:pt>
                <c:pt idx="47">
                  <c:v>7.8</c:v>
                </c:pt>
                <c:pt idx="48">
                  <c:v>7.7</c:v>
                </c:pt>
                <c:pt idx="49">
                  <c:v>7.7</c:v>
                </c:pt>
                <c:pt idx="50">
                  <c:v>7.5</c:v>
                </c:pt>
                <c:pt idx="51">
                  <c:v>7.5</c:v>
                </c:pt>
                <c:pt idx="52">
                  <c:v>6</c:v>
                </c:pt>
                <c:pt idx="53">
                  <c:v>7.6</c:v>
                </c:pt>
                <c:pt idx="54">
                  <c:v>6</c:v>
                </c:pt>
                <c:pt idx="55">
                  <c:v>6</c:v>
                </c:pt>
                <c:pt idx="56">
                  <c:v>7.7</c:v>
                </c:pt>
                <c:pt idx="57">
                  <c:v>6</c:v>
                </c:pt>
                <c:pt idx="58">
                  <c:v>6</c:v>
                </c:pt>
                <c:pt idx="59">
                  <c:v>7.7</c:v>
                </c:pt>
                <c:pt idx="60">
                  <c:v>6</c:v>
                </c:pt>
                <c:pt idx="61">
                  <c:v>6</c:v>
                </c:pt>
                <c:pt idx="62">
                  <c:v>6.2</c:v>
                </c:pt>
                <c:pt idx="63">
                  <c:v>6.2</c:v>
                </c:pt>
                <c:pt idx="64">
                  <c:v>6.2</c:v>
                </c:pt>
                <c:pt idx="65">
                  <c:v>6.2</c:v>
                </c:pt>
                <c:pt idx="66">
                  <c:v>7.2</c:v>
                </c:pt>
                <c:pt idx="67">
                  <c:v>6</c:v>
                </c:pt>
                <c:pt idx="68">
                  <c:v>6.2</c:v>
                </c:pt>
                <c:pt idx="69">
                  <c:v>6.2</c:v>
                </c:pt>
                <c:pt idx="70">
                  <c:v>6.1</c:v>
                </c:pt>
                <c:pt idx="71">
                  <c:v>6.1</c:v>
                </c:pt>
                <c:pt idx="72">
                  <c:v>6.1</c:v>
                </c:pt>
                <c:pt idx="73">
                  <c:v>6.1</c:v>
                </c:pt>
                <c:pt idx="74">
                  <c:v>6</c:v>
                </c:pt>
                <c:pt idx="75">
                  <c:v>6</c:v>
                </c:pt>
                <c:pt idx="76">
                  <c:v>6</c:v>
                </c:pt>
                <c:pt idx="77">
                  <c:v>6</c:v>
                </c:pt>
                <c:pt idx="78">
                  <c:v>6</c:v>
                </c:pt>
                <c:pt idx="79">
                  <c:v>6</c:v>
                </c:pt>
                <c:pt idx="80">
                  <c:v>5.8</c:v>
                </c:pt>
                <c:pt idx="81">
                  <c:v>5.8</c:v>
                </c:pt>
                <c:pt idx="82">
                  <c:v>6.7</c:v>
                </c:pt>
                <c:pt idx="83">
                  <c:v>6.7</c:v>
                </c:pt>
                <c:pt idx="84">
                  <c:v>7.5</c:v>
                </c:pt>
                <c:pt idx="85">
                  <c:v>7.2</c:v>
                </c:pt>
                <c:pt idx="86">
                  <c:v>7.2</c:v>
                </c:pt>
                <c:pt idx="87">
                  <c:v>7.2</c:v>
                </c:pt>
                <c:pt idx="88">
                  <c:v>7.3</c:v>
                </c:pt>
                <c:pt idx="89">
                  <c:v>7.3</c:v>
                </c:pt>
                <c:pt idx="90">
                  <c:v>7.3</c:v>
                </c:pt>
                <c:pt idx="91">
                  <c:v>7.3</c:v>
                </c:pt>
                <c:pt idx="92">
                  <c:v>7.5</c:v>
                </c:pt>
                <c:pt idx="93">
                  <c:v>7.4</c:v>
                </c:pt>
                <c:pt idx="94">
                  <c:v>7.2</c:v>
                </c:pt>
                <c:pt idx="95">
                  <c:v>7.1</c:v>
                </c:pt>
                <c:pt idx="96">
                  <c:v>7.2</c:v>
                </c:pt>
                <c:pt idx="97">
                  <c:v>7.1</c:v>
                </c:pt>
                <c:pt idx="98">
                  <c:v>7.1</c:v>
                </c:pt>
                <c:pt idx="99">
                  <c:v>7.1</c:v>
                </c:pt>
                <c:pt idx="100">
                  <c:v>7.2</c:v>
                </c:pt>
                <c:pt idx="101">
                  <c:v>7.2</c:v>
                </c:pt>
                <c:pt idx="102">
                  <c:v>7.2</c:v>
                </c:pt>
                <c:pt idx="103">
                  <c:v>6.6</c:v>
                </c:pt>
                <c:pt idx="104">
                  <c:v>7.2</c:v>
                </c:pt>
                <c:pt idx="105">
                  <c:v>6.6</c:v>
                </c:pt>
                <c:pt idx="106">
                  <c:v>6.1</c:v>
                </c:pt>
                <c:pt idx="107">
                  <c:v>7.8</c:v>
                </c:pt>
                <c:pt idx="108">
                  <c:v>7.8</c:v>
                </c:pt>
                <c:pt idx="109">
                  <c:v>7.4</c:v>
                </c:pt>
                <c:pt idx="110">
                  <c:v>7.2</c:v>
                </c:pt>
                <c:pt idx="111">
                  <c:v>7.4</c:v>
                </c:pt>
                <c:pt idx="112">
                  <c:v>7.2</c:v>
                </c:pt>
                <c:pt idx="113">
                  <c:v>7.4</c:v>
                </c:pt>
                <c:pt idx="114">
                  <c:v>7.2</c:v>
                </c:pt>
                <c:pt idx="115">
                  <c:v>7.2</c:v>
                </c:pt>
                <c:pt idx="116">
                  <c:v>7.2</c:v>
                </c:pt>
                <c:pt idx="117">
                  <c:v>7.2</c:v>
                </c:pt>
                <c:pt idx="118">
                  <c:v>7.2</c:v>
                </c:pt>
                <c:pt idx="119">
                  <c:v>7.2</c:v>
                </c:pt>
                <c:pt idx="120">
                  <c:v>7.2</c:v>
                </c:pt>
                <c:pt idx="121">
                  <c:v>7.2</c:v>
                </c:pt>
                <c:pt idx="122">
                  <c:v>7.2</c:v>
                </c:pt>
                <c:pt idx="123">
                  <c:v>7.2</c:v>
                </c:pt>
                <c:pt idx="124">
                  <c:v>7.2</c:v>
                </c:pt>
                <c:pt idx="125">
                  <c:v>7.5</c:v>
                </c:pt>
                <c:pt idx="126">
                  <c:v>7.3</c:v>
                </c:pt>
                <c:pt idx="127">
                  <c:v>7.1</c:v>
                </c:pt>
                <c:pt idx="128">
                  <c:v>7.3</c:v>
                </c:pt>
                <c:pt idx="129">
                  <c:v>7.3</c:v>
                </c:pt>
                <c:pt idx="130">
                  <c:v>7.1</c:v>
                </c:pt>
                <c:pt idx="131">
                  <c:v>7.3</c:v>
                </c:pt>
                <c:pt idx="132">
                  <c:v>7.3</c:v>
                </c:pt>
                <c:pt idx="133">
                  <c:v>7.1</c:v>
                </c:pt>
                <c:pt idx="134">
                  <c:v>7.3</c:v>
                </c:pt>
                <c:pt idx="135">
                  <c:v>7.3</c:v>
                </c:pt>
                <c:pt idx="136">
                  <c:v>7.1</c:v>
                </c:pt>
                <c:pt idx="137">
                  <c:v>7.1</c:v>
                </c:pt>
                <c:pt idx="138">
                  <c:v>7.1</c:v>
                </c:pt>
                <c:pt idx="139">
                  <c:v>7.1</c:v>
                </c:pt>
                <c:pt idx="140">
                  <c:v>7.1</c:v>
                </c:pt>
                <c:pt idx="141">
                  <c:v>7.1</c:v>
                </c:pt>
                <c:pt idx="142">
                  <c:v>7.1</c:v>
                </c:pt>
                <c:pt idx="143">
                  <c:v>7.1</c:v>
                </c:pt>
                <c:pt idx="144">
                  <c:v>7.1</c:v>
                </c:pt>
                <c:pt idx="145">
                  <c:v>7.4</c:v>
                </c:pt>
                <c:pt idx="146">
                  <c:v>7.2</c:v>
                </c:pt>
                <c:pt idx="147">
                  <c:v>6.5</c:v>
                </c:pt>
                <c:pt idx="148">
                  <c:v>6.9</c:v>
                </c:pt>
                <c:pt idx="149">
                  <c:v>8</c:v>
                </c:pt>
                <c:pt idx="150">
                  <c:v>8</c:v>
                </c:pt>
                <c:pt idx="151">
                  <c:v>7.2</c:v>
                </c:pt>
                <c:pt idx="152">
                  <c:v>7.2</c:v>
                </c:pt>
                <c:pt idx="153">
                  <c:v>7.2</c:v>
                </c:pt>
                <c:pt idx="154">
                  <c:v>7.2</c:v>
                </c:pt>
                <c:pt idx="155">
                  <c:v>7.2</c:v>
                </c:pt>
                <c:pt idx="156">
                  <c:v>7.2</c:v>
                </c:pt>
                <c:pt idx="157">
                  <c:v>7.2</c:v>
                </c:pt>
                <c:pt idx="158">
                  <c:v>7.2</c:v>
                </c:pt>
                <c:pt idx="159">
                  <c:v>7.2</c:v>
                </c:pt>
                <c:pt idx="160">
                  <c:v>7.2</c:v>
                </c:pt>
                <c:pt idx="161">
                  <c:v>7.2</c:v>
                </c:pt>
                <c:pt idx="162">
                  <c:v>7.2</c:v>
                </c:pt>
                <c:pt idx="163">
                  <c:v>7.9</c:v>
                </c:pt>
                <c:pt idx="164">
                  <c:v>7.9</c:v>
                </c:pt>
                <c:pt idx="165">
                  <c:v>7.6</c:v>
                </c:pt>
                <c:pt idx="166">
                  <c:v>7.3</c:v>
                </c:pt>
                <c:pt idx="167">
                  <c:v>7.1</c:v>
                </c:pt>
                <c:pt idx="168">
                  <c:v>7.1</c:v>
                </c:pt>
                <c:pt idx="169">
                  <c:v>7.7</c:v>
                </c:pt>
                <c:pt idx="170">
                  <c:v>7.7</c:v>
                </c:pt>
                <c:pt idx="171">
                  <c:v>7.7</c:v>
                </c:pt>
                <c:pt idx="172">
                  <c:v>7.7</c:v>
                </c:pt>
                <c:pt idx="173">
                  <c:v>7.7</c:v>
                </c:pt>
                <c:pt idx="174">
                  <c:v>7.6</c:v>
                </c:pt>
                <c:pt idx="175">
                  <c:v>7.6</c:v>
                </c:pt>
                <c:pt idx="176">
                  <c:v>7.6</c:v>
                </c:pt>
                <c:pt idx="177">
                  <c:v>6.5</c:v>
                </c:pt>
                <c:pt idx="178">
                  <c:v>7.8</c:v>
                </c:pt>
                <c:pt idx="179">
                  <c:v>7.8</c:v>
                </c:pt>
                <c:pt idx="180">
                  <c:v>7.8</c:v>
                </c:pt>
                <c:pt idx="181">
                  <c:v>7.8</c:v>
                </c:pt>
                <c:pt idx="182">
                  <c:v>7.8</c:v>
                </c:pt>
                <c:pt idx="183">
                  <c:v>7.8</c:v>
                </c:pt>
                <c:pt idx="184">
                  <c:v>6.8</c:v>
                </c:pt>
                <c:pt idx="185">
                  <c:v>6.8</c:v>
                </c:pt>
                <c:pt idx="186">
                  <c:v>6.7</c:v>
                </c:pt>
                <c:pt idx="187">
                  <c:v>6.3</c:v>
                </c:pt>
                <c:pt idx="188">
                  <c:v>6.7</c:v>
                </c:pt>
                <c:pt idx="189">
                  <c:v>6.5</c:v>
                </c:pt>
                <c:pt idx="190">
                  <c:v>6.7</c:v>
                </c:pt>
                <c:pt idx="191">
                  <c:v>6.4</c:v>
                </c:pt>
                <c:pt idx="192">
                  <c:v>6.5</c:v>
                </c:pt>
                <c:pt idx="193">
                  <c:v>6.5</c:v>
                </c:pt>
                <c:pt idx="194">
                  <c:v>6.5</c:v>
                </c:pt>
                <c:pt idx="195">
                  <c:v>6.5</c:v>
                </c:pt>
                <c:pt idx="196">
                  <c:v>6.5</c:v>
                </c:pt>
                <c:pt idx="197">
                  <c:v>6.5</c:v>
                </c:pt>
                <c:pt idx="198">
                  <c:v>6.5</c:v>
                </c:pt>
                <c:pt idx="199">
                  <c:v>6.5</c:v>
                </c:pt>
                <c:pt idx="200">
                  <c:v>6.5</c:v>
                </c:pt>
                <c:pt idx="201">
                  <c:v>7.8</c:v>
                </c:pt>
                <c:pt idx="202">
                  <c:v>7.8</c:v>
                </c:pt>
                <c:pt idx="203">
                  <c:v>6.9</c:v>
                </c:pt>
                <c:pt idx="204">
                  <c:v>7.6</c:v>
                </c:pt>
                <c:pt idx="205">
                  <c:v>7.7</c:v>
                </c:pt>
                <c:pt idx="206">
                  <c:v>7.7</c:v>
                </c:pt>
                <c:pt idx="207">
                  <c:v>7.7</c:v>
                </c:pt>
                <c:pt idx="208">
                  <c:v>7.7</c:v>
                </c:pt>
                <c:pt idx="209">
                  <c:v>7.8</c:v>
                </c:pt>
                <c:pt idx="210">
                  <c:v>7.7</c:v>
                </c:pt>
                <c:pt idx="211">
                  <c:v>7.8</c:v>
                </c:pt>
                <c:pt idx="212">
                  <c:v>7.8</c:v>
                </c:pt>
                <c:pt idx="213">
                  <c:v>7.8</c:v>
                </c:pt>
                <c:pt idx="214">
                  <c:v>7.8</c:v>
                </c:pt>
                <c:pt idx="215">
                  <c:v>7.8</c:v>
                </c:pt>
                <c:pt idx="216">
                  <c:v>7.8</c:v>
                </c:pt>
                <c:pt idx="217">
                  <c:v>7.8</c:v>
                </c:pt>
                <c:pt idx="218">
                  <c:v>7.8</c:v>
                </c:pt>
                <c:pt idx="219">
                  <c:v>6.5</c:v>
                </c:pt>
                <c:pt idx="220">
                  <c:v>6.6</c:v>
                </c:pt>
                <c:pt idx="221">
                  <c:v>6.4</c:v>
                </c:pt>
                <c:pt idx="222">
                  <c:v>6.3</c:v>
                </c:pt>
                <c:pt idx="223">
                  <c:v>6.4</c:v>
                </c:pt>
                <c:pt idx="224">
                  <c:v>6.6</c:v>
                </c:pt>
                <c:pt idx="225">
                  <c:v>6.3</c:v>
                </c:pt>
                <c:pt idx="226">
                  <c:v>6.6</c:v>
                </c:pt>
                <c:pt idx="227">
                  <c:v>6.3</c:v>
                </c:pt>
                <c:pt idx="228">
                  <c:v>6.6</c:v>
                </c:pt>
                <c:pt idx="229">
                  <c:v>6.3</c:v>
                </c:pt>
                <c:pt idx="230">
                  <c:v>6.6</c:v>
                </c:pt>
                <c:pt idx="231">
                  <c:v>6.3</c:v>
                </c:pt>
                <c:pt idx="232">
                  <c:v>6.6</c:v>
                </c:pt>
                <c:pt idx="233">
                  <c:v>6.3</c:v>
                </c:pt>
                <c:pt idx="234">
                  <c:v>6.6</c:v>
                </c:pt>
                <c:pt idx="235">
                  <c:v>6.3</c:v>
                </c:pt>
                <c:pt idx="236">
                  <c:v>6.4</c:v>
                </c:pt>
                <c:pt idx="237">
                  <c:v>6.5</c:v>
                </c:pt>
                <c:pt idx="238">
                  <c:v>6.3</c:v>
                </c:pt>
                <c:pt idx="239">
                  <c:v>6.4</c:v>
                </c:pt>
                <c:pt idx="240">
                  <c:v>6.5</c:v>
                </c:pt>
                <c:pt idx="241">
                  <c:v>6.3</c:v>
                </c:pt>
                <c:pt idx="242">
                  <c:v>6.4</c:v>
                </c:pt>
                <c:pt idx="243">
                  <c:v>6.5</c:v>
                </c:pt>
                <c:pt idx="244">
                  <c:v>6.3</c:v>
                </c:pt>
                <c:pt idx="245">
                  <c:v>6.5</c:v>
                </c:pt>
                <c:pt idx="246">
                  <c:v>6.3</c:v>
                </c:pt>
                <c:pt idx="247">
                  <c:v>6.8</c:v>
                </c:pt>
                <c:pt idx="248">
                  <c:v>6.4</c:v>
                </c:pt>
                <c:pt idx="249">
                  <c:v>6.5</c:v>
                </c:pt>
                <c:pt idx="250">
                  <c:v>6.8</c:v>
                </c:pt>
                <c:pt idx="251">
                  <c:v>6.8</c:v>
                </c:pt>
                <c:pt idx="252">
                  <c:v>6.5</c:v>
                </c:pt>
                <c:pt idx="253">
                  <c:v>6.5</c:v>
                </c:pt>
                <c:pt idx="254">
                  <c:v>6.5</c:v>
                </c:pt>
                <c:pt idx="255">
                  <c:v>6.5</c:v>
                </c:pt>
                <c:pt idx="256">
                  <c:v>6.6</c:v>
                </c:pt>
                <c:pt idx="257">
                  <c:v>6.6</c:v>
                </c:pt>
                <c:pt idx="258">
                  <c:v>6.6</c:v>
                </c:pt>
                <c:pt idx="259">
                  <c:v>6.6</c:v>
                </c:pt>
                <c:pt idx="260">
                  <c:v>6.6</c:v>
                </c:pt>
                <c:pt idx="261">
                  <c:v>6.6</c:v>
                </c:pt>
                <c:pt idx="262">
                  <c:v>6.6</c:v>
                </c:pt>
                <c:pt idx="263">
                  <c:v>6.9</c:v>
                </c:pt>
                <c:pt idx="264">
                  <c:v>7.3</c:v>
                </c:pt>
                <c:pt idx="265">
                  <c:v>5.9</c:v>
                </c:pt>
                <c:pt idx="266">
                  <c:v>7.3</c:v>
                </c:pt>
                <c:pt idx="267">
                  <c:v>6.2</c:v>
                </c:pt>
                <c:pt idx="268">
                  <c:v>6</c:v>
                </c:pt>
                <c:pt idx="269">
                  <c:v>6.1</c:v>
                </c:pt>
                <c:pt idx="270">
                  <c:v>6.1</c:v>
                </c:pt>
                <c:pt idx="271">
                  <c:v>6.1</c:v>
                </c:pt>
                <c:pt idx="272">
                  <c:v>6.1</c:v>
                </c:pt>
                <c:pt idx="273">
                  <c:v>6.2</c:v>
                </c:pt>
                <c:pt idx="274">
                  <c:v>6.2</c:v>
                </c:pt>
                <c:pt idx="275">
                  <c:v>6.2</c:v>
                </c:pt>
                <c:pt idx="276">
                  <c:v>8.1</c:v>
                </c:pt>
                <c:pt idx="277">
                  <c:v>8.1</c:v>
                </c:pt>
                <c:pt idx="278">
                  <c:v>6.1</c:v>
                </c:pt>
                <c:pt idx="279">
                  <c:v>8.3000000000000007</c:v>
                </c:pt>
                <c:pt idx="280">
                  <c:v>6</c:v>
                </c:pt>
                <c:pt idx="281">
                  <c:v>6.1</c:v>
                </c:pt>
                <c:pt idx="282">
                  <c:v>6</c:v>
                </c:pt>
                <c:pt idx="283">
                  <c:v>6</c:v>
                </c:pt>
                <c:pt idx="284">
                  <c:v>6</c:v>
                </c:pt>
                <c:pt idx="285">
                  <c:v>6</c:v>
                </c:pt>
                <c:pt idx="286">
                  <c:v>6</c:v>
                </c:pt>
                <c:pt idx="287">
                  <c:v>6</c:v>
                </c:pt>
                <c:pt idx="288">
                  <c:v>6</c:v>
                </c:pt>
                <c:pt idx="289">
                  <c:v>6.1</c:v>
                </c:pt>
                <c:pt idx="290">
                  <c:v>6</c:v>
                </c:pt>
                <c:pt idx="291">
                  <c:v>6.1</c:v>
                </c:pt>
                <c:pt idx="292">
                  <c:v>6.1</c:v>
                </c:pt>
                <c:pt idx="293">
                  <c:v>6</c:v>
                </c:pt>
                <c:pt idx="294">
                  <c:v>6.1</c:v>
                </c:pt>
                <c:pt idx="295">
                  <c:v>6</c:v>
                </c:pt>
                <c:pt idx="296">
                  <c:v>6.1</c:v>
                </c:pt>
                <c:pt idx="297">
                  <c:v>6.1</c:v>
                </c:pt>
                <c:pt idx="298">
                  <c:v>8.5</c:v>
                </c:pt>
                <c:pt idx="299">
                  <c:v>8.5</c:v>
                </c:pt>
                <c:pt idx="300">
                  <c:v>8.5</c:v>
                </c:pt>
                <c:pt idx="301">
                  <c:v>8.5</c:v>
                </c:pt>
                <c:pt idx="302">
                  <c:v>7.1</c:v>
                </c:pt>
                <c:pt idx="303">
                  <c:v>6</c:v>
                </c:pt>
                <c:pt idx="304">
                  <c:v>6.1</c:v>
                </c:pt>
                <c:pt idx="305">
                  <c:v>6.1</c:v>
                </c:pt>
                <c:pt idx="306">
                  <c:v>6.5</c:v>
                </c:pt>
                <c:pt idx="307">
                  <c:v>6.5</c:v>
                </c:pt>
                <c:pt idx="308">
                  <c:v>6.6</c:v>
                </c:pt>
                <c:pt idx="309">
                  <c:v>6.6</c:v>
                </c:pt>
                <c:pt idx="310">
                  <c:v>6.6</c:v>
                </c:pt>
                <c:pt idx="311">
                  <c:v>6.6</c:v>
                </c:pt>
                <c:pt idx="312">
                  <c:v>8.4</c:v>
                </c:pt>
                <c:pt idx="313">
                  <c:v>8.4</c:v>
                </c:pt>
                <c:pt idx="314">
                  <c:v>8.4</c:v>
                </c:pt>
                <c:pt idx="315">
                  <c:v>8.3000000000000007</c:v>
                </c:pt>
                <c:pt idx="316">
                  <c:v>8.5</c:v>
                </c:pt>
                <c:pt idx="317">
                  <c:v>8.5</c:v>
                </c:pt>
                <c:pt idx="318">
                  <c:v>8.4</c:v>
                </c:pt>
                <c:pt idx="319">
                  <c:v>8.4</c:v>
                </c:pt>
                <c:pt idx="320">
                  <c:v>8.5</c:v>
                </c:pt>
                <c:pt idx="321">
                  <c:v>8.4</c:v>
                </c:pt>
                <c:pt idx="322">
                  <c:v>8.4</c:v>
                </c:pt>
                <c:pt idx="323">
                  <c:v>8.5</c:v>
                </c:pt>
                <c:pt idx="324">
                  <c:v>8.3000000000000007</c:v>
                </c:pt>
                <c:pt idx="325">
                  <c:v>8.5</c:v>
                </c:pt>
                <c:pt idx="326">
                  <c:v>8.3000000000000007</c:v>
                </c:pt>
                <c:pt idx="327">
                  <c:v>8.5</c:v>
                </c:pt>
                <c:pt idx="328">
                  <c:v>8.3000000000000007</c:v>
                </c:pt>
                <c:pt idx="329">
                  <c:v>8.5</c:v>
                </c:pt>
                <c:pt idx="330">
                  <c:v>8.5</c:v>
                </c:pt>
                <c:pt idx="331">
                  <c:v>8.4</c:v>
                </c:pt>
                <c:pt idx="332">
                  <c:v>8.4</c:v>
                </c:pt>
                <c:pt idx="333">
                  <c:v>8.4</c:v>
                </c:pt>
                <c:pt idx="334">
                  <c:v>8.4</c:v>
                </c:pt>
                <c:pt idx="335">
                  <c:v>8.4</c:v>
                </c:pt>
                <c:pt idx="336">
                  <c:v>8.4</c:v>
                </c:pt>
                <c:pt idx="337">
                  <c:v>8.4</c:v>
                </c:pt>
                <c:pt idx="338">
                  <c:v>8.5</c:v>
                </c:pt>
                <c:pt idx="339">
                  <c:v>8.1</c:v>
                </c:pt>
                <c:pt idx="340">
                  <c:v>8.1</c:v>
                </c:pt>
                <c:pt idx="341">
                  <c:v>8.1999999999999993</c:v>
                </c:pt>
                <c:pt idx="342">
                  <c:v>8.1999999999999993</c:v>
                </c:pt>
                <c:pt idx="343">
                  <c:v>8.1</c:v>
                </c:pt>
                <c:pt idx="344">
                  <c:v>8.1999999999999993</c:v>
                </c:pt>
                <c:pt idx="345">
                  <c:v>8.1999999999999993</c:v>
                </c:pt>
                <c:pt idx="346">
                  <c:v>8.1999999999999993</c:v>
                </c:pt>
                <c:pt idx="347">
                  <c:v>8.1999999999999993</c:v>
                </c:pt>
                <c:pt idx="348">
                  <c:v>8.1999999999999993</c:v>
                </c:pt>
                <c:pt idx="349">
                  <c:v>8.1</c:v>
                </c:pt>
                <c:pt idx="350">
                  <c:v>8.1</c:v>
                </c:pt>
                <c:pt idx="351">
                  <c:v>8.1</c:v>
                </c:pt>
                <c:pt idx="352">
                  <c:v>8</c:v>
                </c:pt>
                <c:pt idx="353">
                  <c:v>8</c:v>
                </c:pt>
                <c:pt idx="354">
                  <c:v>8</c:v>
                </c:pt>
                <c:pt idx="355">
                  <c:v>8</c:v>
                </c:pt>
                <c:pt idx="356">
                  <c:v>8</c:v>
                </c:pt>
                <c:pt idx="357">
                  <c:v>8</c:v>
                </c:pt>
                <c:pt idx="358">
                  <c:v>8</c:v>
                </c:pt>
                <c:pt idx="359">
                  <c:v>8.1</c:v>
                </c:pt>
                <c:pt idx="360">
                  <c:v>8.1999999999999993</c:v>
                </c:pt>
                <c:pt idx="361">
                  <c:v>8.1999999999999993</c:v>
                </c:pt>
                <c:pt idx="362">
                  <c:v>8.1999999999999993</c:v>
                </c:pt>
                <c:pt idx="363">
                  <c:v>8.1999999999999993</c:v>
                </c:pt>
                <c:pt idx="364">
                  <c:v>8</c:v>
                </c:pt>
                <c:pt idx="365">
                  <c:v>8</c:v>
                </c:pt>
                <c:pt idx="366">
                  <c:v>8.1</c:v>
                </c:pt>
                <c:pt idx="367">
                  <c:v>8</c:v>
                </c:pt>
                <c:pt idx="368">
                  <c:v>8.1</c:v>
                </c:pt>
                <c:pt idx="369">
                  <c:v>8.1</c:v>
                </c:pt>
                <c:pt idx="370">
                  <c:v>8</c:v>
                </c:pt>
                <c:pt idx="371">
                  <c:v>8.1</c:v>
                </c:pt>
                <c:pt idx="372">
                  <c:v>8.1</c:v>
                </c:pt>
                <c:pt idx="373">
                  <c:v>8.1</c:v>
                </c:pt>
              </c:numCache>
            </c:numRef>
          </c:xVal>
          <c:yVal>
            <c:numRef>
              <c:f>'TABLE AND CHART'!$C$78:$C$451</c:f>
              <c:numCache>
                <c:formatCode>General</c:formatCode>
                <c:ptCount val="374"/>
                <c:pt idx="0">
                  <c:v>4200</c:v>
                </c:pt>
                <c:pt idx="1">
                  <c:v>10000</c:v>
                </c:pt>
                <c:pt idx="2">
                  <c:v>10000</c:v>
                </c:pt>
                <c:pt idx="3">
                  <c:v>3000</c:v>
                </c:pt>
                <c:pt idx="4">
                  <c:v>3000</c:v>
                </c:pt>
                <c:pt idx="5">
                  <c:v>3000</c:v>
                </c:pt>
                <c:pt idx="6">
                  <c:v>3500</c:v>
                </c:pt>
                <c:pt idx="7">
                  <c:v>8000</c:v>
                </c:pt>
                <c:pt idx="8">
                  <c:v>8000</c:v>
                </c:pt>
                <c:pt idx="9">
                  <c:v>8000</c:v>
                </c:pt>
                <c:pt idx="10">
                  <c:v>8000</c:v>
                </c:pt>
                <c:pt idx="11">
                  <c:v>8000</c:v>
                </c:pt>
                <c:pt idx="12">
                  <c:v>8000</c:v>
                </c:pt>
                <c:pt idx="13">
                  <c:v>8000</c:v>
                </c:pt>
                <c:pt idx="14">
                  <c:v>8000</c:v>
                </c:pt>
                <c:pt idx="15">
                  <c:v>8000</c:v>
                </c:pt>
                <c:pt idx="16">
                  <c:v>4000</c:v>
                </c:pt>
                <c:pt idx="17">
                  <c:v>8000</c:v>
                </c:pt>
                <c:pt idx="18">
                  <c:v>4000</c:v>
                </c:pt>
                <c:pt idx="19">
                  <c:v>8000</c:v>
                </c:pt>
                <c:pt idx="20">
                  <c:v>8000</c:v>
                </c:pt>
                <c:pt idx="21">
                  <c:v>8000</c:v>
                </c:pt>
                <c:pt idx="22">
                  <c:v>8000</c:v>
                </c:pt>
                <c:pt idx="23">
                  <c:v>8000</c:v>
                </c:pt>
                <c:pt idx="24">
                  <c:v>8000</c:v>
                </c:pt>
                <c:pt idx="25">
                  <c:v>8000</c:v>
                </c:pt>
                <c:pt idx="26">
                  <c:v>8000</c:v>
                </c:pt>
                <c:pt idx="27">
                  <c:v>8000</c:v>
                </c:pt>
                <c:pt idx="28">
                  <c:v>8000</c:v>
                </c:pt>
                <c:pt idx="29">
                  <c:v>8000</c:v>
                </c:pt>
                <c:pt idx="30">
                  <c:v>4100</c:v>
                </c:pt>
                <c:pt idx="31">
                  <c:v>4100</c:v>
                </c:pt>
                <c:pt idx="32">
                  <c:v>6800</c:v>
                </c:pt>
                <c:pt idx="33">
                  <c:v>5000</c:v>
                </c:pt>
                <c:pt idx="34">
                  <c:v>8000</c:v>
                </c:pt>
                <c:pt idx="35">
                  <c:v>5000</c:v>
                </c:pt>
                <c:pt idx="36">
                  <c:v>5000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5000</c:v>
                </c:pt>
                <c:pt idx="53">
                  <c:v>8000</c:v>
                </c:pt>
                <c:pt idx="54">
                  <c:v>5000</c:v>
                </c:pt>
                <c:pt idx="55">
                  <c:v>5000</c:v>
                </c:pt>
                <c:pt idx="56">
                  <c:v>8000</c:v>
                </c:pt>
                <c:pt idx="57">
                  <c:v>5000</c:v>
                </c:pt>
                <c:pt idx="58">
                  <c:v>5000</c:v>
                </c:pt>
                <c:pt idx="59">
                  <c:v>8000</c:v>
                </c:pt>
                <c:pt idx="60">
                  <c:v>5000</c:v>
                </c:pt>
                <c:pt idx="61">
                  <c:v>5000</c:v>
                </c:pt>
                <c:pt idx="62">
                  <c:v>5000</c:v>
                </c:pt>
                <c:pt idx="63">
                  <c:v>5000</c:v>
                </c:pt>
                <c:pt idx="64">
                  <c:v>5000</c:v>
                </c:pt>
                <c:pt idx="65">
                  <c:v>5000</c:v>
                </c:pt>
                <c:pt idx="66">
                  <c:v>7000</c:v>
                </c:pt>
                <c:pt idx="67">
                  <c:v>5000</c:v>
                </c:pt>
                <c:pt idx="68">
                  <c:v>5500</c:v>
                </c:pt>
                <c:pt idx="69">
                  <c:v>5500</c:v>
                </c:pt>
                <c:pt idx="70">
                  <c:v>5000</c:v>
                </c:pt>
                <c:pt idx="71">
                  <c:v>5000</c:v>
                </c:pt>
                <c:pt idx="72">
                  <c:v>5000</c:v>
                </c:pt>
                <c:pt idx="73">
                  <c:v>5000</c:v>
                </c:pt>
                <c:pt idx="74">
                  <c:v>5000</c:v>
                </c:pt>
                <c:pt idx="75">
                  <c:v>5000</c:v>
                </c:pt>
                <c:pt idx="76">
                  <c:v>5000</c:v>
                </c:pt>
                <c:pt idx="77">
                  <c:v>5000</c:v>
                </c:pt>
                <c:pt idx="78">
                  <c:v>5000</c:v>
                </c:pt>
                <c:pt idx="79">
                  <c:v>5000</c:v>
                </c:pt>
                <c:pt idx="80">
                  <c:v>5200</c:v>
                </c:pt>
                <c:pt idx="81">
                  <c:v>5200</c:v>
                </c:pt>
                <c:pt idx="82">
                  <c:v>5600</c:v>
                </c:pt>
                <c:pt idx="83">
                  <c:v>5600</c:v>
                </c:pt>
                <c:pt idx="84">
                  <c:v>8000</c:v>
                </c:pt>
                <c:pt idx="85">
                  <c:v>7000</c:v>
                </c:pt>
                <c:pt idx="86">
                  <c:v>5000</c:v>
                </c:pt>
                <c:pt idx="87">
                  <c:v>5000</c:v>
                </c:pt>
                <c:pt idx="88">
                  <c:v>5000</c:v>
                </c:pt>
                <c:pt idx="89">
                  <c:v>5000</c:v>
                </c:pt>
                <c:pt idx="90">
                  <c:v>5000</c:v>
                </c:pt>
                <c:pt idx="91">
                  <c:v>5000</c:v>
                </c:pt>
                <c:pt idx="92">
                  <c:v>8000</c:v>
                </c:pt>
                <c:pt idx="93">
                  <c:v>3300</c:v>
                </c:pt>
                <c:pt idx="94">
                  <c:v>7000</c:v>
                </c:pt>
                <c:pt idx="95">
                  <c:v>7000</c:v>
                </c:pt>
                <c:pt idx="96">
                  <c:v>7000</c:v>
                </c:pt>
                <c:pt idx="97">
                  <c:v>7000</c:v>
                </c:pt>
                <c:pt idx="98">
                  <c:v>7000</c:v>
                </c:pt>
                <c:pt idx="99">
                  <c:v>7000</c:v>
                </c:pt>
                <c:pt idx="100">
                  <c:v>7000</c:v>
                </c:pt>
                <c:pt idx="101">
                  <c:v>7000</c:v>
                </c:pt>
                <c:pt idx="102">
                  <c:v>7000</c:v>
                </c:pt>
                <c:pt idx="103">
                  <c:v>4800</c:v>
                </c:pt>
                <c:pt idx="104">
                  <c:v>7000</c:v>
                </c:pt>
                <c:pt idx="105">
                  <c:v>4800</c:v>
                </c:pt>
                <c:pt idx="106">
                  <c:v>4200</c:v>
                </c:pt>
                <c:pt idx="107">
                  <c:v>7000</c:v>
                </c:pt>
                <c:pt idx="108">
                  <c:v>7000</c:v>
                </c:pt>
                <c:pt idx="109">
                  <c:v>8000</c:v>
                </c:pt>
                <c:pt idx="110">
                  <c:v>7000</c:v>
                </c:pt>
                <c:pt idx="111">
                  <c:v>8000</c:v>
                </c:pt>
                <c:pt idx="112">
                  <c:v>7000</c:v>
                </c:pt>
                <c:pt idx="113">
                  <c:v>8000</c:v>
                </c:pt>
                <c:pt idx="114">
                  <c:v>7000</c:v>
                </c:pt>
                <c:pt idx="115">
                  <c:v>7000</c:v>
                </c:pt>
                <c:pt idx="116">
                  <c:v>7000</c:v>
                </c:pt>
                <c:pt idx="117">
                  <c:v>7000</c:v>
                </c:pt>
                <c:pt idx="118">
                  <c:v>7000</c:v>
                </c:pt>
                <c:pt idx="119">
                  <c:v>7000</c:v>
                </c:pt>
                <c:pt idx="120">
                  <c:v>7000</c:v>
                </c:pt>
                <c:pt idx="121">
                  <c:v>7000</c:v>
                </c:pt>
                <c:pt idx="122">
                  <c:v>7000</c:v>
                </c:pt>
                <c:pt idx="123">
                  <c:v>7000</c:v>
                </c:pt>
                <c:pt idx="124">
                  <c:v>7000</c:v>
                </c:pt>
                <c:pt idx="125">
                  <c:v>8000</c:v>
                </c:pt>
                <c:pt idx="126">
                  <c:v>8000</c:v>
                </c:pt>
                <c:pt idx="127">
                  <c:v>7000</c:v>
                </c:pt>
                <c:pt idx="128">
                  <c:v>8000</c:v>
                </c:pt>
                <c:pt idx="129">
                  <c:v>8000</c:v>
                </c:pt>
                <c:pt idx="130">
                  <c:v>7000</c:v>
                </c:pt>
                <c:pt idx="131">
                  <c:v>8000</c:v>
                </c:pt>
                <c:pt idx="132">
                  <c:v>8000</c:v>
                </c:pt>
                <c:pt idx="133">
                  <c:v>7000</c:v>
                </c:pt>
                <c:pt idx="134">
                  <c:v>8000</c:v>
                </c:pt>
                <c:pt idx="135">
                  <c:v>8000</c:v>
                </c:pt>
                <c:pt idx="136">
                  <c:v>7000</c:v>
                </c:pt>
                <c:pt idx="137">
                  <c:v>8000</c:v>
                </c:pt>
                <c:pt idx="138">
                  <c:v>7000</c:v>
                </c:pt>
                <c:pt idx="139">
                  <c:v>8000</c:v>
                </c:pt>
                <c:pt idx="140">
                  <c:v>7000</c:v>
                </c:pt>
                <c:pt idx="141">
                  <c:v>8000</c:v>
                </c:pt>
                <c:pt idx="142">
                  <c:v>7000</c:v>
                </c:pt>
                <c:pt idx="143">
                  <c:v>7000</c:v>
                </c:pt>
                <c:pt idx="144">
                  <c:v>8000</c:v>
                </c:pt>
                <c:pt idx="145">
                  <c:v>3300</c:v>
                </c:pt>
                <c:pt idx="146">
                  <c:v>8000</c:v>
                </c:pt>
                <c:pt idx="147">
                  <c:v>4000</c:v>
                </c:pt>
                <c:pt idx="148">
                  <c:v>5500</c:v>
                </c:pt>
                <c:pt idx="149">
                  <c:v>7500</c:v>
                </c:pt>
                <c:pt idx="150">
                  <c:v>7500</c:v>
                </c:pt>
                <c:pt idx="151">
                  <c:v>8000</c:v>
                </c:pt>
                <c:pt idx="152">
                  <c:v>8000</c:v>
                </c:pt>
                <c:pt idx="153">
                  <c:v>8000</c:v>
                </c:pt>
                <c:pt idx="154">
                  <c:v>8000</c:v>
                </c:pt>
                <c:pt idx="155">
                  <c:v>8000</c:v>
                </c:pt>
                <c:pt idx="156">
                  <c:v>8000</c:v>
                </c:pt>
                <c:pt idx="157">
                  <c:v>8000</c:v>
                </c:pt>
                <c:pt idx="158">
                  <c:v>8000</c:v>
                </c:pt>
                <c:pt idx="159">
                  <c:v>8000</c:v>
                </c:pt>
                <c:pt idx="160">
                  <c:v>8000</c:v>
                </c:pt>
                <c:pt idx="161">
                  <c:v>7300</c:v>
                </c:pt>
                <c:pt idx="162">
                  <c:v>7300</c:v>
                </c:pt>
                <c:pt idx="163">
                  <c:v>8000</c:v>
                </c:pt>
                <c:pt idx="164">
                  <c:v>8000</c:v>
                </c:pt>
                <c:pt idx="165">
                  <c:v>8000</c:v>
                </c:pt>
                <c:pt idx="166">
                  <c:v>6200</c:v>
                </c:pt>
                <c:pt idx="167">
                  <c:v>6000</c:v>
                </c:pt>
                <c:pt idx="168">
                  <c:v>6000</c:v>
                </c:pt>
                <c:pt idx="169">
                  <c:v>8000</c:v>
                </c:pt>
                <c:pt idx="170">
                  <c:v>8000</c:v>
                </c:pt>
                <c:pt idx="171">
                  <c:v>8000</c:v>
                </c:pt>
                <c:pt idx="172">
                  <c:v>8000</c:v>
                </c:pt>
                <c:pt idx="173">
                  <c:v>8000</c:v>
                </c:pt>
                <c:pt idx="174">
                  <c:v>8000</c:v>
                </c:pt>
                <c:pt idx="175">
                  <c:v>8000</c:v>
                </c:pt>
                <c:pt idx="176">
                  <c:v>8000</c:v>
                </c:pt>
                <c:pt idx="177">
                  <c:v>6000</c:v>
                </c:pt>
                <c:pt idx="178">
                  <c:v>8000</c:v>
                </c:pt>
                <c:pt idx="179">
                  <c:v>8000</c:v>
                </c:pt>
                <c:pt idx="180">
                  <c:v>8000</c:v>
                </c:pt>
                <c:pt idx="181">
                  <c:v>8000</c:v>
                </c:pt>
                <c:pt idx="182">
                  <c:v>8000</c:v>
                </c:pt>
                <c:pt idx="183">
                  <c:v>8000</c:v>
                </c:pt>
                <c:pt idx="184">
                  <c:v>5000</c:v>
                </c:pt>
                <c:pt idx="185">
                  <c:v>5000</c:v>
                </c:pt>
                <c:pt idx="186">
                  <c:v>6000</c:v>
                </c:pt>
                <c:pt idx="187">
                  <c:v>6000</c:v>
                </c:pt>
                <c:pt idx="188">
                  <c:v>6000</c:v>
                </c:pt>
                <c:pt idx="189">
                  <c:v>6000</c:v>
                </c:pt>
                <c:pt idx="190">
                  <c:v>6000</c:v>
                </c:pt>
                <c:pt idx="191">
                  <c:v>6000</c:v>
                </c:pt>
                <c:pt idx="192">
                  <c:v>6000</c:v>
                </c:pt>
                <c:pt idx="193">
                  <c:v>6000</c:v>
                </c:pt>
                <c:pt idx="194">
                  <c:v>6000</c:v>
                </c:pt>
                <c:pt idx="195">
                  <c:v>6000</c:v>
                </c:pt>
                <c:pt idx="196">
                  <c:v>6000</c:v>
                </c:pt>
                <c:pt idx="197">
                  <c:v>6000</c:v>
                </c:pt>
                <c:pt idx="198">
                  <c:v>6000</c:v>
                </c:pt>
                <c:pt idx="199">
                  <c:v>6000</c:v>
                </c:pt>
                <c:pt idx="200">
                  <c:v>6000</c:v>
                </c:pt>
                <c:pt idx="201">
                  <c:v>8000</c:v>
                </c:pt>
                <c:pt idx="202">
                  <c:v>8000</c:v>
                </c:pt>
                <c:pt idx="203">
                  <c:v>6800</c:v>
                </c:pt>
                <c:pt idx="204">
                  <c:v>6800</c:v>
                </c:pt>
                <c:pt idx="205">
                  <c:v>8000</c:v>
                </c:pt>
                <c:pt idx="206">
                  <c:v>8000</c:v>
                </c:pt>
                <c:pt idx="207">
                  <c:v>8000</c:v>
                </c:pt>
                <c:pt idx="208">
                  <c:v>8000</c:v>
                </c:pt>
                <c:pt idx="209">
                  <c:v>8000</c:v>
                </c:pt>
                <c:pt idx="210">
                  <c:v>8000</c:v>
                </c:pt>
                <c:pt idx="211">
                  <c:v>8000</c:v>
                </c:pt>
                <c:pt idx="212">
                  <c:v>8000</c:v>
                </c:pt>
                <c:pt idx="213">
                  <c:v>8000</c:v>
                </c:pt>
                <c:pt idx="214">
                  <c:v>8000</c:v>
                </c:pt>
                <c:pt idx="215">
                  <c:v>8000</c:v>
                </c:pt>
                <c:pt idx="216">
                  <c:v>8000</c:v>
                </c:pt>
                <c:pt idx="217">
                  <c:v>8000</c:v>
                </c:pt>
                <c:pt idx="218">
                  <c:v>8000</c:v>
                </c:pt>
                <c:pt idx="219">
                  <c:v>6000</c:v>
                </c:pt>
                <c:pt idx="220">
                  <c:v>6000</c:v>
                </c:pt>
                <c:pt idx="221">
                  <c:v>6000</c:v>
                </c:pt>
                <c:pt idx="222">
                  <c:v>6000</c:v>
                </c:pt>
                <c:pt idx="223">
                  <c:v>6000</c:v>
                </c:pt>
                <c:pt idx="224">
                  <c:v>6000</c:v>
                </c:pt>
                <c:pt idx="225">
                  <c:v>6000</c:v>
                </c:pt>
                <c:pt idx="226">
                  <c:v>6000</c:v>
                </c:pt>
                <c:pt idx="227">
                  <c:v>6000</c:v>
                </c:pt>
                <c:pt idx="228">
                  <c:v>6000</c:v>
                </c:pt>
                <c:pt idx="229">
                  <c:v>6000</c:v>
                </c:pt>
                <c:pt idx="230">
                  <c:v>6000</c:v>
                </c:pt>
                <c:pt idx="231">
                  <c:v>6000</c:v>
                </c:pt>
                <c:pt idx="232">
                  <c:v>6000</c:v>
                </c:pt>
                <c:pt idx="233">
                  <c:v>6000</c:v>
                </c:pt>
                <c:pt idx="234">
                  <c:v>6000</c:v>
                </c:pt>
                <c:pt idx="235">
                  <c:v>6000</c:v>
                </c:pt>
                <c:pt idx="236">
                  <c:v>6000</c:v>
                </c:pt>
                <c:pt idx="237">
                  <c:v>6000</c:v>
                </c:pt>
                <c:pt idx="238">
                  <c:v>6000</c:v>
                </c:pt>
                <c:pt idx="239">
                  <c:v>6000</c:v>
                </c:pt>
                <c:pt idx="240">
                  <c:v>6000</c:v>
                </c:pt>
                <c:pt idx="241">
                  <c:v>6000</c:v>
                </c:pt>
                <c:pt idx="242">
                  <c:v>6000</c:v>
                </c:pt>
                <c:pt idx="243">
                  <c:v>6000</c:v>
                </c:pt>
                <c:pt idx="244">
                  <c:v>6000</c:v>
                </c:pt>
                <c:pt idx="245">
                  <c:v>6000</c:v>
                </c:pt>
                <c:pt idx="246">
                  <c:v>6000</c:v>
                </c:pt>
                <c:pt idx="247">
                  <c:v>5000</c:v>
                </c:pt>
                <c:pt idx="248">
                  <c:v>6000</c:v>
                </c:pt>
                <c:pt idx="249">
                  <c:v>6000</c:v>
                </c:pt>
                <c:pt idx="250">
                  <c:v>6000</c:v>
                </c:pt>
                <c:pt idx="251">
                  <c:v>6000</c:v>
                </c:pt>
                <c:pt idx="252">
                  <c:v>6000</c:v>
                </c:pt>
                <c:pt idx="253">
                  <c:v>6000</c:v>
                </c:pt>
                <c:pt idx="254">
                  <c:v>6000</c:v>
                </c:pt>
                <c:pt idx="255">
                  <c:v>6000</c:v>
                </c:pt>
                <c:pt idx="256">
                  <c:v>6000</c:v>
                </c:pt>
                <c:pt idx="257">
                  <c:v>6000</c:v>
                </c:pt>
                <c:pt idx="258">
                  <c:v>6000</c:v>
                </c:pt>
                <c:pt idx="259">
                  <c:v>6000</c:v>
                </c:pt>
                <c:pt idx="260">
                  <c:v>6000</c:v>
                </c:pt>
                <c:pt idx="261">
                  <c:v>6000</c:v>
                </c:pt>
                <c:pt idx="262">
                  <c:v>6000</c:v>
                </c:pt>
                <c:pt idx="263">
                  <c:v>5500</c:v>
                </c:pt>
                <c:pt idx="264">
                  <c:v>3500</c:v>
                </c:pt>
                <c:pt idx="265">
                  <c:v>10000</c:v>
                </c:pt>
                <c:pt idx="266">
                  <c:v>3500</c:v>
                </c:pt>
                <c:pt idx="267">
                  <c:v>10000</c:v>
                </c:pt>
                <c:pt idx="268">
                  <c:v>10000</c:v>
                </c:pt>
                <c:pt idx="269">
                  <c:v>10000</c:v>
                </c:pt>
                <c:pt idx="270">
                  <c:v>10000</c:v>
                </c:pt>
                <c:pt idx="271">
                  <c:v>10000</c:v>
                </c:pt>
                <c:pt idx="272">
                  <c:v>10000</c:v>
                </c:pt>
                <c:pt idx="273">
                  <c:v>10000</c:v>
                </c:pt>
                <c:pt idx="274">
                  <c:v>10000</c:v>
                </c:pt>
                <c:pt idx="275">
                  <c:v>10000</c:v>
                </c:pt>
                <c:pt idx="276">
                  <c:v>3700</c:v>
                </c:pt>
                <c:pt idx="277">
                  <c:v>3700</c:v>
                </c:pt>
                <c:pt idx="278">
                  <c:v>10000</c:v>
                </c:pt>
                <c:pt idx="279">
                  <c:v>5000</c:v>
                </c:pt>
                <c:pt idx="280">
                  <c:v>10000</c:v>
                </c:pt>
                <c:pt idx="281">
                  <c:v>10000</c:v>
                </c:pt>
                <c:pt idx="282">
                  <c:v>10000</c:v>
                </c:pt>
                <c:pt idx="283">
                  <c:v>10000</c:v>
                </c:pt>
                <c:pt idx="284">
                  <c:v>10000</c:v>
                </c:pt>
                <c:pt idx="285">
                  <c:v>10000</c:v>
                </c:pt>
                <c:pt idx="286">
                  <c:v>10000</c:v>
                </c:pt>
                <c:pt idx="287">
                  <c:v>10000</c:v>
                </c:pt>
                <c:pt idx="288">
                  <c:v>10000</c:v>
                </c:pt>
                <c:pt idx="289">
                  <c:v>10000</c:v>
                </c:pt>
                <c:pt idx="290">
                  <c:v>10000</c:v>
                </c:pt>
                <c:pt idx="291">
                  <c:v>10000</c:v>
                </c:pt>
                <c:pt idx="292">
                  <c:v>10000</c:v>
                </c:pt>
                <c:pt idx="293">
                  <c:v>10000</c:v>
                </c:pt>
                <c:pt idx="294">
                  <c:v>10000</c:v>
                </c:pt>
                <c:pt idx="295">
                  <c:v>10000</c:v>
                </c:pt>
                <c:pt idx="296">
                  <c:v>10000</c:v>
                </c:pt>
                <c:pt idx="297">
                  <c:v>10000</c:v>
                </c:pt>
                <c:pt idx="298">
                  <c:v>5000</c:v>
                </c:pt>
                <c:pt idx="299">
                  <c:v>5000</c:v>
                </c:pt>
                <c:pt idx="300">
                  <c:v>5000</c:v>
                </c:pt>
                <c:pt idx="301">
                  <c:v>5000</c:v>
                </c:pt>
                <c:pt idx="302">
                  <c:v>6000</c:v>
                </c:pt>
                <c:pt idx="303">
                  <c:v>10000</c:v>
                </c:pt>
                <c:pt idx="304">
                  <c:v>10000</c:v>
                </c:pt>
                <c:pt idx="305">
                  <c:v>10000</c:v>
                </c:pt>
                <c:pt idx="306">
                  <c:v>6000</c:v>
                </c:pt>
                <c:pt idx="307">
                  <c:v>6000</c:v>
                </c:pt>
                <c:pt idx="308">
                  <c:v>6000</c:v>
                </c:pt>
                <c:pt idx="309">
                  <c:v>6000</c:v>
                </c:pt>
                <c:pt idx="310">
                  <c:v>6000</c:v>
                </c:pt>
                <c:pt idx="311">
                  <c:v>6000</c:v>
                </c:pt>
                <c:pt idx="312">
                  <c:v>5000</c:v>
                </c:pt>
                <c:pt idx="313">
                  <c:v>5000</c:v>
                </c:pt>
                <c:pt idx="314">
                  <c:v>5000</c:v>
                </c:pt>
                <c:pt idx="315">
                  <c:v>5000</c:v>
                </c:pt>
                <c:pt idx="316">
                  <c:v>5000</c:v>
                </c:pt>
                <c:pt idx="317">
                  <c:v>5000</c:v>
                </c:pt>
                <c:pt idx="318">
                  <c:v>5000</c:v>
                </c:pt>
                <c:pt idx="319">
                  <c:v>5000</c:v>
                </c:pt>
                <c:pt idx="320">
                  <c:v>5000</c:v>
                </c:pt>
                <c:pt idx="321">
                  <c:v>5000</c:v>
                </c:pt>
                <c:pt idx="322">
                  <c:v>5000</c:v>
                </c:pt>
                <c:pt idx="323">
                  <c:v>5000</c:v>
                </c:pt>
                <c:pt idx="324">
                  <c:v>5000</c:v>
                </c:pt>
                <c:pt idx="325">
                  <c:v>5000</c:v>
                </c:pt>
                <c:pt idx="326">
                  <c:v>5000</c:v>
                </c:pt>
                <c:pt idx="327">
                  <c:v>5000</c:v>
                </c:pt>
                <c:pt idx="328">
                  <c:v>5000</c:v>
                </c:pt>
                <c:pt idx="329">
                  <c:v>5000</c:v>
                </c:pt>
                <c:pt idx="330">
                  <c:v>5000</c:v>
                </c:pt>
                <c:pt idx="331">
                  <c:v>5000</c:v>
                </c:pt>
                <c:pt idx="332">
                  <c:v>5000</c:v>
                </c:pt>
                <c:pt idx="333">
                  <c:v>5000</c:v>
                </c:pt>
                <c:pt idx="334">
                  <c:v>5000</c:v>
                </c:pt>
                <c:pt idx="335">
                  <c:v>5000</c:v>
                </c:pt>
                <c:pt idx="336">
                  <c:v>5000</c:v>
                </c:pt>
                <c:pt idx="337">
                  <c:v>5000</c:v>
                </c:pt>
                <c:pt idx="338">
                  <c:v>5000</c:v>
                </c:pt>
                <c:pt idx="339">
                  <c:v>5000</c:v>
                </c:pt>
                <c:pt idx="340">
                  <c:v>5000</c:v>
                </c:pt>
                <c:pt idx="341">
                  <c:v>10000</c:v>
                </c:pt>
                <c:pt idx="342">
                  <c:v>10000</c:v>
                </c:pt>
                <c:pt idx="343">
                  <c:v>7000</c:v>
                </c:pt>
                <c:pt idx="344">
                  <c:v>7000</c:v>
                </c:pt>
                <c:pt idx="345">
                  <c:v>7000</c:v>
                </c:pt>
                <c:pt idx="346">
                  <c:v>7000</c:v>
                </c:pt>
                <c:pt idx="347">
                  <c:v>7000</c:v>
                </c:pt>
                <c:pt idx="348">
                  <c:v>7000</c:v>
                </c:pt>
                <c:pt idx="349">
                  <c:v>7000</c:v>
                </c:pt>
                <c:pt idx="350">
                  <c:v>7000</c:v>
                </c:pt>
                <c:pt idx="351">
                  <c:v>7000</c:v>
                </c:pt>
                <c:pt idx="352">
                  <c:v>7000</c:v>
                </c:pt>
                <c:pt idx="353">
                  <c:v>7000</c:v>
                </c:pt>
                <c:pt idx="354">
                  <c:v>7000</c:v>
                </c:pt>
                <c:pt idx="355">
                  <c:v>7000</c:v>
                </c:pt>
                <c:pt idx="356">
                  <c:v>7000</c:v>
                </c:pt>
                <c:pt idx="357">
                  <c:v>7000</c:v>
                </c:pt>
                <c:pt idx="358">
                  <c:v>7000</c:v>
                </c:pt>
                <c:pt idx="359">
                  <c:v>7000</c:v>
                </c:pt>
                <c:pt idx="360">
                  <c:v>7000</c:v>
                </c:pt>
                <c:pt idx="361">
                  <c:v>7000</c:v>
                </c:pt>
                <c:pt idx="362">
                  <c:v>7000</c:v>
                </c:pt>
                <c:pt idx="363">
                  <c:v>7000</c:v>
                </c:pt>
                <c:pt idx="364">
                  <c:v>7000</c:v>
                </c:pt>
                <c:pt idx="365">
                  <c:v>7000</c:v>
                </c:pt>
                <c:pt idx="366">
                  <c:v>7000</c:v>
                </c:pt>
                <c:pt idx="367">
                  <c:v>7000</c:v>
                </c:pt>
                <c:pt idx="368">
                  <c:v>7000</c:v>
                </c:pt>
                <c:pt idx="369">
                  <c:v>7000</c:v>
                </c:pt>
                <c:pt idx="370">
                  <c:v>7000</c:v>
                </c:pt>
                <c:pt idx="371">
                  <c:v>7000</c:v>
                </c:pt>
                <c:pt idx="372">
                  <c:v>7000</c:v>
                </c:pt>
                <c:pt idx="373">
                  <c:v>7000</c:v>
                </c:pt>
              </c:numCache>
            </c:numRef>
          </c:yVal>
          <c:smooth val="0"/>
          <c:extLst>
            <c:ext xmlns:c16="http://schemas.microsoft.com/office/drawing/2014/chart" uri="{C3380CC4-5D6E-409C-BE32-E72D297353CC}">
              <c16:uniqueId val="{00000000-18AF-4A17-9AC6-5FB2D23DD8E4}"/>
            </c:ext>
          </c:extLst>
        </c:ser>
        <c:dLbls>
          <c:showLegendKey val="0"/>
          <c:showVal val="0"/>
          <c:showCatName val="0"/>
          <c:showSerName val="0"/>
          <c:showPercent val="0"/>
          <c:showBubbleSize val="0"/>
        </c:dLbls>
        <c:axId val="118093071"/>
        <c:axId val="1044617391"/>
      </c:scatterChart>
      <c:valAx>
        <c:axId val="118093071"/>
        <c:scaling>
          <c:orientation val="minMax"/>
          <c:min val="5.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Sleep</a:t>
                </a:r>
                <a:r>
                  <a:rPr lang="en-IN" baseline="0"/>
                  <a:t> Duration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17391"/>
        <c:crosses val="autoZero"/>
        <c:crossBetween val="midCat"/>
      </c:valAx>
      <c:valAx>
        <c:axId val="1044617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Daily</a:t>
                </a:r>
                <a:r>
                  <a:rPr lang="en-IN" baseline="0"/>
                  <a:t> Steps</a:t>
                </a: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30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AND CHART'!$M$103</c:f>
              <c:strCache>
                <c:ptCount val="1"/>
                <c:pt idx="0">
                  <c:v>Total</c:v>
                </c:pt>
              </c:strCache>
            </c:strRef>
          </c:tx>
          <c:spPr>
            <a:solidFill>
              <a:schemeClr val="accent1"/>
            </a:solidFill>
            <a:ln>
              <a:noFill/>
            </a:ln>
            <a:effectLst/>
          </c:spPr>
          <c:invertIfNegative val="0"/>
          <c:cat>
            <c:strRef>
              <c:f>'TABLE AND CHART'!$L$104:$L$106</c:f>
              <c:strCache>
                <c:ptCount val="2"/>
                <c:pt idx="0">
                  <c:v>Female</c:v>
                </c:pt>
                <c:pt idx="1">
                  <c:v>Male</c:v>
                </c:pt>
              </c:strCache>
            </c:strRef>
          </c:cat>
          <c:val>
            <c:numRef>
              <c:f>'TABLE AND CHART'!$M$104:$M$106</c:f>
              <c:numCache>
                <c:formatCode>General</c:formatCode>
                <c:ptCount val="2"/>
                <c:pt idx="0">
                  <c:v>7.6648648648648647</c:v>
                </c:pt>
                <c:pt idx="1">
                  <c:v>6.9682539682539684</c:v>
                </c:pt>
              </c:numCache>
            </c:numRef>
          </c:val>
          <c:extLst>
            <c:ext xmlns:c16="http://schemas.microsoft.com/office/drawing/2014/chart" uri="{C3380CC4-5D6E-409C-BE32-E72D297353CC}">
              <c16:uniqueId val="{00000000-8AE9-4EB1-80C6-1076E846771A}"/>
            </c:ext>
          </c:extLst>
        </c:ser>
        <c:dLbls>
          <c:showLegendKey val="0"/>
          <c:showVal val="0"/>
          <c:showCatName val="0"/>
          <c:showSerName val="0"/>
          <c:showPercent val="0"/>
          <c:showBubbleSize val="0"/>
        </c:dLbls>
        <c:gapWidth val="219"/>
        <c:overlap val="-27"/>
        <c:axId val="798297775"/>
        <c:axId val="199743712"/>
      </c:barChart>
      <c:catAx>
        <c:axId val="79829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3712"/>
        <c:crosses val="autoZero"/>
        <c:auto val="1"/>
        <c:lblAlgn val="ctr"/>
        <c:lblOffset val="100"/>
        <c:noMultiLvlLbl val="0"/>
      </c:catAx>
      <c:valAx>
        <c:axId val="19974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Quality of Sleep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9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[project.xlsx]TABLE AND CHART!PivotTable7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pieChart>
        <c:varyColors val="1"/>
        <c:ser>
          <c:idx val="0"/>
          <c:order val="0"/>
          <c:tx>
            <c:strRef>
              <c:f>'TABLE AND CHART'!$M$125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625-4B62-91C2-4C52C3EBEBC3}"/>
              </c:ext>
            </c:extLst>
          </c:dPt>
          <c:dPt>
            <c:idx val="1"/>
            <c:bubble3D val="0"/>
            <c:spPr>
              <a:solidFill>
                <a:schemeClr val="accent2"/>
              </a:solidFill>
              <a:ln>
                <a:noFill/>
              </a:ln>
              <a:effectLst/>
            </c:spPr>
            <c:extLst>
              <c:ext xmlns:c16="http://schemas.microsoft.com/office/drawing/2014/chart" uri="{C3380CC4-5D6E-409C-BE32-E72D297353CC}">
                <c16:uniqueId val="{00000003-2625-4B62-91C2-4C52C3EBEBC3}"/>
              </c:ext>
            </c:extLst>
          </c:dPt>
          <c:dPt>
            <c:idx val="2"/>
            <c:bubble3D val="0"/>
            <c:spPr>
              <a:solidFill>
                <a:schemeClr val="accent3"/>
              </a:solidFill>
              <a:ln>
                <a:noFill/>
              </a:ln>
              <a:effectLst/>
            </c:spPr>
            <c:extLst>
              <c:ext xmlns:c16="http://schemas.microsoft.com/office/drawing/2014/chart" uri="{C3380CC4-5D6E-409C-BE32-E72D297353CC}">
                <c16:uniqueId val="{00000005-2625-4B62-91C2-4C52C3EBEBC3}"/>
              </c:ext>
            </c:extLst>
          </c:dPt>
          <c:dPt>
            <c:idx val="3"/>
            <c:bubble3D val="0"/>
            <c:spPr>
              <a:solidFill>
                <a:schemeClr val="accent4"/>
              </a:solidFill>
              <a:ln>
                <a:noFill/>
              </a:ln>
              <a:effectLst/>
            </c:spPr>
            <c:extLst>
              <c:ext xmlns:c16="http://schemas.microsoft.com/office/drawing/2014/chart" uri="{C3380CC4-5D6E-409C-BE32-E72D297353CC}">
                <c16:uniqueId val="{00000007-2625-4B62-91C2-4C52C3EBEBC3}"/>
              </c:ext>
            </c:extLst>
          </c:dPt>
          <c:cat>
            <c:strRef>
              <c:f>'TABLE AND CHART'!$L$126:$L$130</c:f>
              <c:strCache>
                <c:ptCount val="4"/>
                <c:pt idx="0">
                  <c:v>Normal</c:v>
                </c:pt>
                <c:pt idx="1">
                  <c:v>Normal Weight</c:v>
                </c:pt>
                <c:pt idx="2">
                  <c:v>Obese</c:v>
                </c:pt>
                <c:pt idx="3">
                  <c:v>Overweight</c:v>
                </c:pt>
              </c:strCache>
            </c:strRef>
          </c:cat>
          <c:val>
            <c:numRef>
              <c:f>'TABLE AND CHART'!$M$126:$M$130</c:f>
              <c:numCache>
                <c:formatCode>General</c:formatCode>
                <c:ptCount val="4"/>
                <c:pt idx="0">
                  <c:v>195</c:v>
                </c:pt>
                <c:pt idx="1">
                  <c:v>21</c:v>
                </c:pt>
                <c:pt idx="2">
                  <c:v>10</c:v>
                </c:pt>
                <c:pt idx="3">
                  <c:v>148</c:v>
                </c:pt>
              </c:numCache>
            </c:numRef>
          </c:val>
          <c:extLst>
            <c:ext xmlns:c16="http://schemas.microsoft.com/office/drawing/2014/chart" uri="{C3380CC4-5D6E-409C-BE32-E72D297353CC}">
              <c16:uniqueId val="{00000008-2625-4B62-91C2-4C52C3EBEB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175260</xdr:colOff>
      <xdr:row>2</xdr:row>
      <xdr:rowOff>95250</xdr:rowOff>
    </xdr:from>
    <xdr:to>
      <xdr:col>13</xdr:col>
      <xdr:colOff>182880</xdr:colOff>
      <xdr:row>14</xdr:row>
      <xdr:rowOff>99060</xdr:rowOff>
    </xdr:to>
    <xdr:graphicFrame macro="">
      <xdr:nvGraphicFramePr>
        <xdr:cNvPr id="2" name="Chart 1">
          <a:extLst>
            <a:ext uri="{FF2B5EF4-FFF2-40B4-BE49-F238E27FC236}">
              <a16:creationId xmlns:a16="http://schemas.microsoft.com/office/drawing/2014/main" id="{CA83D0D9-D809-6B47-4F89-C919340B2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320246</xdr:colOff>
      <xdr:row>13</xdr:row>
      <xdr:rowOff>34702</xdr:rowOff>
    </xdr:from>
    <xdr:to>
      <xdr:col>22</xdr:col>
      <xdr:colOff>604041</xdr:colOff>
      <xdr:row>27</xdr:row>
      <xdr:rowOff>182984</xdr:rowOff>
    </xdr:to>
    <xdr:graphicFrame macro="">
      <xdr:nvGraphicFramePr>
        <xdr:cNvPr id="3" name="Chart 2">
          <a:extLst>
            <a:ext uri="{FF2B5EF4-FFF2-40B4-BE49-F238E27FC236}">
              <a16:creationId xmlns:a16="http://schemas.microsoft.com/office/drawing/2014/main" id="{FC2FA954-BF9A-13C8-EFAF-66097CE9F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391299</xdr:colOff>
      <xdr:row>33</xdr:row>
      <xdr:rowOff>28832</xdr:rowOff>
    </xdr:from>
    <xdr:to>
      <xdr:col>23</xdr:col>
      <xdr:colOff>1</xdr:colOff>
      <xdr:row>51</xdr:row>
      <xdr:rowOff>30891</xdr:rowOff>
    </xdr:to>
    <xdr:graphicFrame macro="">
      <xdr:nvGraphicFramePr>
        <xdr:cNvPr id="4" name="Chart 3">
          <a:extLst>
            <a:ext uri="{FF2B5EF4-FFF2-40B4-BE49-F238E27FC236}">
              <a16:creationId xmlns:a16="http://schemas.microsoft.com/office/drawing/2014/main" id="{310326F0-3122-7EF6-8844-1F561957B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102974</xdr:colOff>
      <xdr:row>57</xdr:row>
      <xdr:rowOff>80319</xdr:rowOff>
    </xdr:from>
    <xdr:to>
      <xdr:col>13</xdr:col>
      <xdr:colOff>473676</xdr:colOff>
      <xdr:row>72</xdr:row>
      <xdr:rowOff>43249</xdr:rowOff>
    </xdr:to>
    <xdr:graphicFrame macro="">
      <xdr:nvGraphicFramePr>
        <xdr:cNvPr id="5" name="Chart 4">
          <a:extLst>
            <a:ext uri="{FF2B5EF4-FFF2-40B4-BE49-F238E27FC236}">
              <a16:creationId xmlns:a16="http://schemas.microsoft.com/office/drawing/2014/main" id="{8BF1C12F-285D-512F-7CA8-65BB95786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227522</xdr:colOff>
      <xdr:row>76</xdr:row>
      <xdr:rowOff>54329</xdr:rowOff>
    </xdr:from>
    <xdr:to>
      <xdr:col>13</xdr:col>
      <xdr:colOff>1142021</xdr:colOff>
      <xdr:row>91</xdr:row>
      <xdr:rowOff>17258</xdr:rowOff>
    </xdr:to>
    <xdr:graphicFrame macro="">
      <xdr:nvGraphicFramePr>
        <xdr:cNvPr id="10" name="Chart 9">
          <a:extLst>
            <a:ext uri="{FF2B5EF4-FFF2-40B4-BE49-F238E27FC236}">
              <a16:creationId xmlns:a16="http://schemas.microsoft.com/office/drawing/2014/main" id="{EC3FCD95-8DAD-A349-BBBD-45DF5B81A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220266</xdr:colOff>
      <xdr:row>100</xdr:row>
      <xdr:rowOff>146447</xdr:rowOff>
    </xdr:from>
    <xdr:to>
      <xdr:col>16</xdr:col>
      <xdr:colOff>1125141</xdr:colOff>
      <xdr:row>116</xdr:row>
      <xdr:rowOff>32147</xdr:rowOff>
    </xdr:to>
    <xdr:graphicFrame macro="">
      <xdr:nvGraphicFramePr>
        <xdr:cNvPr id="7" name="Chart 6">
          <a:extLst>
            <a:ext uri="{FF2B5EF4-FFF2-40B4-BE49-F238E27FC236}">
              <a16:creationId xmlns:a16="http://schemas.microsoft.com/office/drawing/2014/main" id="{EE155522-2661-873B-D8AE-B17EF57BC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160734</xdr:colOff>
      <xdr:row>124</xdr:row>
      <xdr:rowOff>27385</xdr:rowOff>
    </xdr:from>
    <xdr:to>
      <xdr:col>22</xdr:col>
      <xdr:colOff>363139</xdr:colOff>
      <xdr:row>139</xdr:row>
      <xdr:rowOff>91679</xdr:rowOff>
    </xdr:to>
    <xdr:graphicFrame macro="">
      <xdr:nvGraphicFramePr>
        <xdr:cNvPr id="8" name="Chart 7">
          <a:extLst>
            <a:ext uri="{FF2B5EF4-FFF2-40B4-BE49-F238E27FC236}">
              <a16:creationId xmlns:a16="http://schemas.microsoft.com/office/drawing/2014/main" id="{15223F42-1FB9-9A38-CB72-37B08C72D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264367</xdr:colOff>
      <xdr:row>56</xdr:row>
      <xdr:rowOff>28918</xdr:rowOff>
    </xdr:to>
    <xdr:pic>
      <xdr:nvPicPr>
        <xdr:cNvPr id="22" name="Picture 21">
          <a:extLst>
            <a:ext uri="{FF2B5EF4-FFF2-40B4-BE49-F238E27FC236}">
              <a16:creationId xmlns:a16="http://schemas.microsoft.com/office/drawing/2014/main" id="{554BF904-3D05-EEED-C0E0-908BF5D363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552367" cy="10115027"/>
        </a:xfrm>
        <a:prstGeom prst="rect">
          <a:avLst/>
        </a:prstGeom>
        <a:solidFill>
          <a:schemeClr val="lt1"/>
        </a:solidFill>
        <a:ln>
          <a:solidFill>
            <a:schemeClr val="tx1"/>
          </a:solidFill>
        </a:ln>
      </xdr:spPr>
    </xdr:pic>
    <xdr:clientData/>
  </xdr:twoCellAnchor>
  <xdr:twoCellAnchor>
    <xdr:from>
      <xdr:col>0</xdr:col>
      <xdr:colOff>167640</xdr:colOff>
      <xdr:row>0</xdr:row>
      <xdr:rowOff>121919</xdr:rowOff>
    </xdr:from>
    <xdr:to>
      <xdr:col>24</xdr:col>
      <xdr:colOff>168088</xdr:colOff>
      <xdr:row>6</xdr:row>
      <xdr:rowOff>144516</xdr:rowOff>
    </xdr:to>
    <xdr:sp macro="" textlink="">
      <xdr:nvSpPr>
        <xdr:cNvPr id="5" name="Rectangle: Rounded Corners 4">
          <a:extLst>
            <a:ext uri="{FF2B5EF4-FFF2-40B4-BE49-F238E27FC236}">
              <a16:creationId xmlns:a16="http://schemas.microsoft.com/office/drawing/2014/main" id="{00C7F7E5-F82A-CEE6-2E0A-F42EA0F9D418}"/>
            </a:ext>
          </a:extLst>
        </xdr:cNvPr>
        <xdr:cNvSpPr/>
      </xdr:nvSpPr>
      <xdr:spPr>
        <a:xfrm>
          <a:off x="167640" y="121919"/>
          <a:ext cx="14504724" cy="1126183"/>
        </a:xfrm>
        <a:prstGeom prst="roundRect">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solidFill>
            </a:rPr>
            <a:t>SLEEP HEALTH AND LIFESTYLE ANALYTICS</a:t>
          </a:r>
        </a:p>
      </xdr:txBody>
    </xdr:sp>
    <xdr:clientData/>
  </xdr:twoCellAnchor>
  <xdr:twoCellAnchor>
    <xdr:from>
      <xdr:col>0</xdr:col>
      <xdr:colOff>193979</xdr:colOff>
      <xdr:row>14</xdr:row>
      <xdr:rowOff>132522</xdr:rowOff>
    </xdr:from>
    <xdr:to>
      <xdr:col>7</xdr:col>
      <xdr:colOff>544499</xdr:colOff>
      <xdr:row>34</xdr:row>
      <xdr:rowOff>128027</xdr:rowOff>
    </xdr:to>
    <xdr:graphicFrame macro="">
      <xdr:nvGraphicFramePr>
        <xdr:cNvPr id="9" name="Chart 8">
          <a:extLst>
            <a:ext uri="{FF2B5EF4-FFF2-40B4-BE49-F238E27FC236}">
              <a16:creationId xmlns:a16="http://schemas.microsoft.com/office/drawing/2014/main" id="{556D2868-BB89-4A66-A6FC-046D9E716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134900</xdr:colOff>
      <xdr:row>14</xdr:row>
      <xdr:rowOff>149088</xdr:rowOff>
    </xdr:from>
    <xdr:to>
      <xdr:col>23</xdr:col>
      <xdr:colOff>469847</xdr:colOff>
      <xdr:row>55</xdr:row>
      <xdr:rowOff>144518</xdr:rowOff>
    </xdr:to>
    <xdr:graphicFrame macro="">
      <xdr:nvGraphicFramePr>
        <xdr:cNvPr id="10" name="Chart 9">
          <a:extLst>
            <a:ext uri="{FF2B5EF4-FFF2-40B4-BE49-F238E27FC236}">
              <a16:creationId xmlns:a16="http://schemas.microsoft.com/office/drawing/2014/main" id="{E86B3FA5-B1C7-4035-ACEA-3005BFA7C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179700</xdr:colOff>
      <xdr:row>34</xdr:row>
      <xdr:rowOff>130266</xdr:rowOff>
    </xdr:from>
    <xdr:to>
      <xdr:col>15</xdr:col>
      <xdr:colOff>170794</xdr:colOff>
      <xdr:row>55</xdr:row>
      <xdr:rowOff>130266</xdr:rowOff>
    </xdr:to>
    <xdr:graphicFrame macro="">
      <xdr:nvGraphicFramePr>
        <xdr:cNvPr id="14" name="Chart 13">
          <a:extLst>
            <a:ext uri="{FF2B5EF4-FFF2-40B4-BE49-F238E27FC236}">
              <a16:creationId xmlns:a16="http://schemas.microsoft.com/office/drawing/2014/main" id="{1E06CD9C-4435-4824-8C15-B41035272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543292</xdr:colOff>
      <xdr:row>14</xdr:row>
      <xdr:rowOff>132522</xdr:rowOff>
    </xdr:from>
    <xdr:to>
      <xdr:col>15</xdr:col>
      <xdr:colOff>170794</xdr:colOff>
      <xdr:row>34</xdr:row>
      <xdr:rowOff>125197</xdr:rowOff>
    </xdr:to>
    <xdr:graphicFrame macro="">
      <xdr:nvGraphicFramePr>
        <xdr:cNvPr id="15" name="Chart 14">
          <a:extLst>
            <a:ext uri="{FF2B5EF4-FFF2-40B4-BE49-F238E27FC236}">
              <a16:creationId xmlns:a16="http://schemas.microsoft.com/office/drawing/2014/main" id="{BDEE6D5C-6D3E-46E3-A927-3A185D6CC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410775</xdr:colOff>
      <xdr:row>0</xdr:row>
      <xdr:rowOff>151116</xdr:rowOff>
    </xdr:from>
    <xdr:to>
      <xdr:col>30</xdr:col>
      <xdr:colOff>70498</xdr:colOff>
      <xdr:row>20</xdr:row>
      <xdr:rowOff>152400</xdr:rowOff>
    </xdr:to>
    <xdr:grpSp>
      <xdr:nvGrpSpPr>
        <xdr:cNvPr id="8" name="Group 7">
          <a:extLst>
            <a:ext uri="{FF2B5EF4-FFF2-40B4-BE49-F238E27FC236}">
              <a16:creationId xmlns:a16="http://schemas.microsoft.com/office/drawing/2014/main" id="{36AB42F0-177B-8294-0568-E1B276829C09}"/>
            </a:ext>
          </a:extLst>
        </xdr:cNvPr>
        <xdr:cNvGrpSpPr/>
      </xdr:nvGrpSpPr>
      <xdr:grpSpPr>
        <a:xfrm>
          <a:off x="16346514" y="151116"/>
          <a:ext cx="2111375" cy="3645632"/>
          <a:chOff x="16703720" y="331225"/>
          <a:chExt cx="2098123" cy="3465355"/>
        </a:xfrm>
      </xdr:grpSpPr>
      <xdr:sp macro="" textlink="">
        <xdr:nvSpPr>
          <xdr:cNvPr id="12" name="Rectangle: Diagonal Corners Rounded 11">
            <a:extLst>
              <a:ext uri="{FF2B5EF4-FFF2-40B4-BE49-F238E27FC236}">
                <a16:creationId xmlns:a16="http://schemas.microsoft.com/office/drawing/2014/main" id="{9BAAD45E-D059-7BC2-6982-89DD7E0A826F}"/>
              </a:ext>
            </a:extLst>
          </xdr:cNvPr>
          <xdr:cNvSpPr/>
        </xdr:nvSpPr>
        <xdr:spPr>
          <a:xfrm>
            <a:off x="16703720" y="331225"/>
            <a:ext cx="2098123" cy="3465355"/>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20" name="Occupation">
                <a:extLst>
                  <a:ext uri="{FF2B5EF4-FFF2-40B4-BE49-F238E27FC236}">
                    <a16:creationId xmlns:a16="http://schemas.microsoft.com/office/drawing/2014/main" id="{62491E3B-1763-C9CE-B8C6-03A6A54399D7}"/>
                  </a:ext>
                </a:extLst>
              </xdr:cNvPr>
              <xdr:cNvGraphicFramePr/>
            </xdr:nvGraphicFramePr>
            <xdr:xfrm>
              <a:off x="16842278" y="527726"/>
              <a:ext cx="1821873" cy="3120736"/>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6485947" y="357840"/>
                <a:ext cx="1833380" cy="3283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201704</xdr:colOff>
      <xdr:row>7</xdr:row>
      <xdr:rowOff>179293</xdr:rowOff>
    </xdr:from>
    <xdr:to>
      <xdr:col>4</xdr:col>
      <xdr:colOff>0</xdr:colOff>
      <xdr:row>14</xdr:row>
      <xdr:rowOff>11204</xdr:rowOff>
    </xdr:to>
    <xdr:grpSp>
      <xdr:nvGrpSpPr>
        <xdr:cNvPr id="39" name="Group 38">
          <a:extLst>
            <a:ext uri="{FF2B5EF4-FFF2-40B4-BE49-F238E27FC236}">
              <a16:creationId xmlns:a16="http://schemas.microsoft.com/office/drawing/2014/main" id="{4F4576A2-18F3-0075-FC32-72F082304137}"/>
            </a:ext>
          </a:extLst>
        </xdr:cNvPr>
        <xdr:cNvGrpSpPr/>
      </xdr:nvGrpSpPr>
      <xdr:grpSpPr>
        <a:xfrm>
          <a:off x="201704" y="1454815"/>
          <a:ext cx="2249948" cy="1107432"/>
          <a:chOff x="168087" y="1434352"/>
          <a:chExt cx="1983442" cy="1086970"/>
        </a:xfrm>
      </xdr:grpSpPr>
      <xdr:sp macro="" textlink="">
        <xdr:nvSpPr>
          <xdr:cNvPr id="23" name="Rectangle: Rounded Corners 22">
            <a:extLst>
              <a:ext uri="{FF2B5EF4-FFF2-40B4-BE49-F238E27FC236}">
                <a16:creationId xmlns:a16="http://schemas.microsoft.com/office/drawing/2014/main" id="{A0F190DB-9F22-2F5F-9561-BA606F01330D}"/>
              </a:ext>
            </a:extLst>
          </xdr:cNvPr>
          <xdr:cNvSpPr/>
        </xdr:nvSpPr>
        <xdr:spPr>
          <a:xfrm>
            <a:off x="168087" y="1434352"/>
            <a:ext cx="1983442" cy="1086970"/>
          </a:xfrm>
          <a:prstGeom prst="roundRect">
            <a:avLst>
              <a:gd name="adj" fmla="val 19760"/>
            </a:avLst>
          </a:prstGeom>
          <a:solidFill>
            <a:schemeClr val="l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7A29BB8C-8231-B4C8-9005-35FF68C226D5}"/>
              </a:ext>
            </a:extLst>
          </xdr:cNvPr>
          <xdr:cNvSpPr txBox="1"/>
        </xdr:nvSpPr>
        <xdr:spPr>
          <a:xfrm>
            <a:off x="201705" y="1613646"/>
            <a:ext cx="1938618"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Times New Roman" panose="02020603050405020304" pitchFamily="18" charset="0"/>
                <a:cs typeface="Times New Roman" panose="02020603050405020304" pitchFamily="18" charset="0"/>
              </a:rPr>
              <a:t>Total</a:t>
            </a:r>
            <a:r>
              <a:rPr lang="en-IN" sz="1800" b="1" baseline="0">
                <a:latin typeface="Times New Roman" panose="02020603050405020304" pitchFamily="18" charset="0"/>
                <a:cs typeface="Times New Roman" panose="02020603050405020304" pitchFamily="18" charset="0"/>
              </a:rPr>
              <a:t> People</a:t>
            </a:r>
            <a:endParaRPr lang="en-IN" sz="1800" b="1">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4771D88B-D16C-3FE2-1E18-FFBD247A0E2A}"/>
              </a:ext>
            </a:extLst>
          </xdr:cNvPr>
          <xdr:cNvSpPr txBox="1"/>
        </xdr:nvSpPr>
        <xdr:spPr>
          <a:xfrm>
            <a:off x="874057" y="1949824"/>
            <a:ext cx="683559"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374</a:t>
            </a:r>
          </a:p>
        </xdr:txBody>
      </xdr:sp>
    </xdr:grpSp>
    <xdr:clientData/>
  </xdr:twoCellAnchor>
  <xdr:twoCellAnchor>
    <xdr:from>
      <xdr:col>4</xdr:col>
      <xdr:colOff>72595</xdr:colOff>
      <xdr:row>8</xdr:row>
      <xdr:rowOff>22412</xdr:rowOff>
    </xdr:from>
    <xdr:to>
      <xdr:col>8</xdr:col>
      <xdr:colOff>66261</xdr:colOff>
      <xdr:row>14</xdr:row>
      <xdr:rowOff>33617</xdr:rowOff>
    </xdr:to>
    <xdr:grpSp>
      <xdr:nvGrpSpPr>
        <xdr:cNvPr id="38" name="Group 37">
          <a:extLst>
            <a:ext uri="{FF2B5EF4-FFF2-40B4-BE49-F238E27FC236}">
              <a16:creationId xmlns:a16="http://schemas.microsoft.com/office/drawing/2014/main" id="{7F757CEA-CBB6-51D3-A069-33806F2D60E2}"/>
            </a:ext>
          </a:extLst>
        </xdr:cNvPr>
        <xdr:cNvGrpSpPr/>
      </xdr:nvGrpSpPr>
      <xdr:grpSpPr>
        <a:xfrm>
          <a:off x="2524247" y="1480151"/>
          <a:ext cx="2445318" cy="1104509"/>
          <a:chOff x="2229972" y="1445559"/>
          <a:chExt cx="2263589" cy="1086970"/>
        </a:xfrm>
        <a:noFill/>
      </xdr:grpSpPr>
      <xdr:sp macro="" textlink="">
        <xdr:nvSpPr>
          <xdr:cNvPr id="24" name="Rectangle: Rounded Corners 23">
            <a:extLst>
              <a:ext uri="{FF2B5EF4-FFF2-40B4-BE49-F238E27FC236}">
                <a16:creationId xmlns:a16="http://schemas.microsoft.com/office/drawing/2014/main" id="{73EEC07B-8D8F-4C7E-8C71-F1588E05641F}"/>
              </a:ext>
            </a:extLst>
          </xdr:cNvPr>
          <xdr:cNvSpPr/>
        </xdr:nvSpPr>
        <xdr:spPr>
          <a:xfrm>
            <a:off x="2263587" y="1445559"/>
            <a:ext cx="2173941" cy="1086970"/>
          </a:xfrm>
          <a:prstGeom prst="roundRect">
            <a:avLst>
              <a:gd name="adj" fmla="val 19760"/>
            </a:avLst>
          </a:prstGeom>
          <a:solidFill>
            <a:schemeClr val="l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29E0DFCD-BD40-8918-5A07-F2629CDA9FB9}"/>
              </a:ext>
            </a:extLst>
          </xdr:cNvPr>
          <xdr:cNvSpPr txBox="1"/>
        </xdr:nvSpPr>
        <xdr:spPr>
          <a:xfrm>
            <a:off x="2229972" y="1591235"/>
            <a:ext cx="2263589" cy="34738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800" b="1">
                <a:latin typeface="Times New Roman" panose="02020603050405020304" pitchFamily="18" charset="0"/>
                <a:cs typeface="Times New Roman" panose="02020603050405020304" pitchFamily="18" charset="0"/>
              </a:rPr>
              <a:t>Avg Sleep</a:t>
            </a:r>
            <a:r>
              <a:rPr lang="en-IN" sz="1800" b="1" baseline="0">
                <a:latin typeface="Times New Roman" panose="02020603050405020304" pitchFamily="18" charset="0"/>
                <a:cs typeface="Times New Roman" panose="02020603050405020304" pitchFamily="18" charset="0"/>
              </a:rPr>
              <a:t> Duration</a:t>
            </a:r>
            <a:endParaRPr lang="en-IN" sz="1800" b="1">
              <a:latin typeface="Times New Roman" panose="02020603050405020304" pitchFamily="18" charset="0"/>
              <a:cs typeface="Times New Roman" panose="02020603050405020304" pitchFamily="18" charset="0"/>
            </a:endParaRPr>
          </a:p>
        </xdr:txBody>
      </xdr:sp>
      <xdr:sp macro="" textlink="">
        <xdr:nvSpPr>
          <xdr:cNvPr id="34" name="TextBox 33">
            <a:extLst>
              <a:ext uri="{FF2B5EF4-FFF2-40B4-BE49-F238E27FC236}">
                <a16:creationId xmlns:a16="http://schemas.microsoft.com/office/drawing/2014/main" id="{29C15079-38C2-AD74-D417-B4CB964E6E3A}"/>
              </a:ext>
            </a:extLst>
          </xdr:cNvPr>
          <xdr:cNvSpPr txBox="1"/>
        </xdr:nvSpPr>
        <xdr:spPr>
          <a:xfrm>
            <a:off x="2667001" y="2050677"/>
            <a:ext cx="1187823" cy="3810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Times New Roman" panose="02020603050405020304" pitchFamily="18" charset="0"/>
                <a:ea typeface="+mn-ea"/>
                <a:cs typeface="Times New Roman" panose="02020603050405020304" pitchFamily="18" charset="0"/>
              </a:rPr>
              <a:t>7.132</a:t>
            </a:r>
            <a:r>
              <a:rPr lang="en-IN" sz="2000">
                <a:effectLst/>
              </a:rPr>
              <a:t> </a:t>
            </a:r>
            <a:endParaRPr lang="en-IN" sz="2000"/>
          </a:p>
        </xdr:txBody>
      </xdr:sp>
    </xdr:grpSp>
    <xdr:clientData/>
  </xdr:twoCellAnchor>
  <xdr:twoCellAnchor>
    <xdr:from>
      <xdr:col>8</xdr:col>
      <xdr:colOff>115956</xdr:colOff>
      <xdr:row>8</xdr:row>
      <xdr:rowOff>30206</xdr:rowOff>
    </xdr:from>
    <xdr:to>
      <xdr:col>12</xdr:col>
      <xdr:colOff>554928</xdr:colOff>
      <xdr:row>14</xdr:row>
      <xdr:rowOff>89158</xdr:rowOff>
    </xdr:to>
    <xdr:grpSp>
      <xdr:nvGrpSpPr>
        <xdr:cNvPr id="37" name="Group 36">
          <a:extLst>
            <a:ext uri="{FF2B5EF4-FFF2-40B4-BE49-F238E27FC236}">
              <a16:creationId xmlns:a16="http://schemas.microsoft.com/office/drawing/2014/main" id="{432740FB-626A-CD91-D4A2-4ECABCC20419}"/>
            </a:ext>
          </a:extLst>
        </xdr:cNvPr>
        <xdr:cNvGrpSpPr/>
      </xdr:nvGrpSpPr>
      <xdr:grpSpPr>
        <a:xfrm>
          <a:off x="5019260" y="1487945"/>
          <a:ext cx="2890625" cy="1152256"/>
          <a:chOff x="4885765" y="1479177"/>
          <a:chExt cx="2525390" cy="1086970"/>
        </a:xfrm>
      </xdr:grpSpPr>
      <xdr:sp macro="" textlink="">
        <xdr:nvSpPr>
          <xdr:cNvPr id="26" name="Rectangle: Rounded Corners 25">
            <a:extLst>
              <a:ext uri="{FF2B5EF4-FFF2-40B4-BE49-F238E27FC236}">
                <a16:creationId xmlns:a16="http://schemas.microsoft.com/office/drawing/2014/main" id="{8DCB5D06-E783-4764-A199-43E3775F204F}"/>
              </a:ext>
            </a:extLst>
          </xdr:cNvPr>
          <xdr:cNvSpPr/>
        </xdr:nvSpPr>
        <xdr:spPr>
          <a:xfrm>
            <a:off x="4885765" y="1479177"/>
            <a:ext cx="2241176" cy="1086970"/>
          </a:xfrm>
          <a:prstGeom prst="roundRect">
            <a:avLst>
              <a:gd name="adj" fmla="val 19760"/>
            </a:avLst>
          </a:prstGeom>
          <a:solidFill>
            <a:schemeClr val="l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1E2091E3-4F42-B07D-1F39-57FE5B712106}"/>
              </a:ext>
            </a:extLst>
          </xdr:cNvPr>
          <xdr:cNvSpPr txBox="1"/>
        </xdr:nvSpPr>
        <xdr:spPr>
          <a:xfrm>
            <a:off x="5300382" y="2073088"/>
            <a:ext cx="1154206"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Times New Roman" panose="02020603050405020304" pitchFamily="18" charset="0"/>
                <a:ea typeface="+mn-ea"/>
                <a:cs typeface="Times New Roman" panose="02020603050405020304" pitchFamily="18" charset="0"/>
              </a:rPr>
              <a:t>7.312</a:t>
            </a:r>
            <a:endParaRPr lang="en-IN" sz="2000" b="1">
              <a:latin typeface="Times New Roman" panose="02020603050405020304" pitchFamily="18" charset="0"/>
              <a:cs typeface="Times New Roman" panose="02020603050405020304" pitchFamily="18" charset="0"/>
            </a:endParaRPr>
          </a:p>
        </xdr:txBody>
      </xdr:sp>
      <xdr:sp macro="" textlink="">
        <xdr:nvSpPr>
          <xdr:cNvPr id="36" name="TextBox 35">
            <a:extLst>
              <a:ext uri="{FF2B5EF4-FFF2-40B4-BE49-F238E27FC236}">
                <a16:creationId xmlns:a16="http://schemas.microsoft.com/office/drawing/2014/main" id="{D0D6094A-2AD7-FB66-B47A-896345D00210}"/>
              </a:ext>
            </a:extLst>
          </xdr:cNvPr>
          <xdr:cNvSpPr txBox="1"/>
        </xdr:nvSpPr>
        <xdr:spPr>
          <a:xfrm>
            <a:off x="5035507" y="1553196"/>
            <a:ext cx="2375648"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latin typeface="Times New Roman" panose="02020603050405020304" pitchFamily="18" charset="0"/>
                <a:cs typeface="Times New Roman" panose="02020603050405020304" pitchFamily="18" charset="0"/>
              </a:rPr>
              <a:t>Avg Quality of Sleep</a:t>
            </a:r>
          </a:p>
          <a:p>
            <a:endParaRPr lang="en-IN" sz="1100"/>
          </a:p>
        </xdr:txBody>
      </xdr:sp>
    </xdr:grpSp>
    <xdr:clientData/>
  </xdr:twoCellAnchor>
  <xdr:twoCellAnchor>
    <xdr:from>
      <xdr:col>12</xdr:col>
      <xdr:colOff>281608</xdr:colOff>
      <xdr:row>8</xdr:row>
      <xdr:rowOff>22411</xdr:rowOff>
    </xdr:from>
    <xdr:to>
      <xdr:col>16</xdr:col>
      <xdr:colOff>229955</xdr:colOff>
      <xdr:row>14</xdr:row>
      <xdr:rowOff>62751</xdr:rowOff>
    </xdr:to>
    <xdr:grpSp>
      <xdr:nvGrpSpPr>
        <xdr:cNvPr id="21" name="Group 20">
          <a:extLst>
            <a:ext uri="{FF2B5EF4-FFF2-40B4-BE49-F238E27FC236}">
              <a16:creationId xmlns:a16="http://schemas.microsoft.com/office/drawing/2014/main" id="{18321DA0-EEA7-538E-2C2E-848174A0A9F1}"/>
            </a:ext>
          </a:extLst>
        </xdr:cNvPr>
        <xdr:cNvGrpSpPr/>
      </xdr:nvGrpSpPr>
      <xdr:grpSpPr>
        <a:xfrm>
          <a:off x="7636565" y="1480150"/>
          <a:ext cx="2399999" cy="1133644"/>
          <a:chOff x="7254661" y="1480150"/>
          <a:chExt cx="2185563" cy="1133644"/>
        </a:xfrm>
      </xdr:grpSpPr>
      <xdr:sp macro="" textlink="">
        <xdr:nvSpPr>
          <xdr:cNvPr id="27" name="Rectangle: Rounded Corners 26">
            <a:extLst>
              <a:ext uri="{FF2B5EF4-FFF2-40B4-BE49-F238E27FC236}">
                <a16:creationId xmlns:a16="http://schemas.microsoft.com/office/drawing/2014/main" id="{A09AE37A-F9C3-49C9-BFF4-A7E20E889866}"/>
              </a:ext>
            </a:extLst>
          </xdr:cNvPr>
          <xdr:cNvSpPr/>
        </xdr:nvSpPr>
        <xdr:spPr>
          <a:xfrm>
            <a:off x="7309061" y="1480150"/>
            <a:ext cx="2131163" cy="1133644"/>
          </a:xfrm>
          <a:prstGeom prst="roundRect">
            <a:avLst>
              <a:gd name="adj" fmla="val 19760"/>
            </a:avLst>
          </a:prstGeom>
          <a:solidFill>
            <a:schemeClr val="l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a:t>Average Stress Level</a:t>
            </a:r>
          </a:p>
        </xdr:txBody>
      </xdr:sp>
      <xdr:sp macro="" textlink="">
        <xdr:nvSpPr>
          <xdr:cNvPr id="2" name="TextBox 1">
            <a:extLst>
              <a:ext uri="{FF2B5EF4-FFF2-40B4-BE49-F238E27FC236}">
                <a16:creationId xmlns:a16="http://schemas.microsoft.com/office/drawing/2014/main" id="{41C4C933-A080-27CB-F133-BC88662493AF}"/>
              </a:ext>
            </a:extLst>
          </xdr:cNvPr>
          <xdr:cNvSpPr txBox="1"/>
        </xdr:nvSpPr>
        <xdr:spPr>
          <a:xfrm>
            <a:off x="7254661" y="1610138"/>
            <a:ext cx="2160708" cy="505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Times New Roman" panose="02020603050405020304" pitchFamily="18" charset="0"/>
                <a:ea typeface="+mn-ea"/>
                <a:cs typeface="Times New Roman" panose="02020603050405020304" pitchFamily="18" charset="0"/>
              </a:rPr>
              <a:t>Avg Stress Level</a:t>
            </a:r>
            <a:endParaRPr lang="en-IN" sz="1800" b="1">
              <a:effectLst/>
              <a:latin typeface="Times New Roman" panose="02020603050405020304" pitchFamily="18" charset="0"/>
              <a:cs typeface="Times New Roman" panose="02020603050405020304" pitchFamily="18" charset="0"/>
            </a:endParaRPr>
          </a:p>
          <a:p>
            <a:endParaRPr lang="en-IN" sz="1100"/>
          </a:p>
        </xdr:txBody>
      </xdr:sp>
      <xdr:sp macro="" textlink="">
        <xdr:nvSpPr>
          <xdr:cNvPr id="3" name="TextBox 2">
            <a:extLst>
              <a:ext uri="{FF2B5EF4-FFF2-40B4-BE49-F238E27FC236}">
                <a16:creationId xmlns:a16="http://schemas.microsoft.com/office/drawing/2014/main" id="{9A96A4AF-C226-3426-4E59-EB51DFF83598}"/>
              </a:ext>
            </a:extLst>
          </xdr:cNvPr>
          <xdr:cNvSpPr txBox="1"/>
        </xdr:nvSpPr>
        <xdr:spPr>
          <a:xfrm>
            <a:off x="7576628" y="2045954"/>
            <a:ext cx="1586045" cy="46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Times New Roman" panose="02020603050405020304" pitchFamily="18" charset="0"/>
                <a:ea typeface="+mn-ea"/>
                <a:cs typeface="Times New Roman" panose="02020603050405020304" pitchFamily="18" charset="0"/>
              </a:rPr>
              <a:t>5.385</a:t>
            </a:r>
            <a:r>
              <a:rPr lang="en-IN">
                <a:effectLst/>
              </a:rPr>
              <a:t> </a:t>
            </a:r>
            <a:endParaRPr lang="en-IN" sz="1100"/>
          </a:p>
        </xdr:txBody>
      </xdr:sp>
    </xdr:grpSp>
    <xdr:clientData/>
  </xdr:twoCellAnchor>
  <xdr:twoCellAnchor>
    <xdr:from>
      <xdr:col>16</xdr:col>
      <xdr:colOff>345240</xdr:colOff>
      <xdr:row>8</xdr:row>
      <xdr:rowOff>29135</xdr:rowOff>
    </xdr:from>
    <xdr:to>
      <xdr:col>20</xdr:col>
      <xdr:colOff>298174</xdr:colOff>
      <xdr:row>14</xdr:row>
      <xdr:rowOff>69475</xdr:rowOff>
    </xdr:to>
    <xdr:grpSp>
      <xdr:nvGrpSpPr>
        <xdr:cNvPr id="19" name="Group 18">
          <a:extLst>
            <a:ext uri="{FF2B5EF4-FFF2-40B4-BE49-F238E27FC236}">
              <a16:creationId xmlns:a16="http://schemas.microsoft.com/office/drawing/2014/main" id="{2A23A020-377C-EF65-305A-8778DC93C8E2}"/>
            </a:ext>
          </a:extLst>
        </xdr:cNvPr>
        <xdr:cNvGrpSpPr/>
      </xdr:nvGrpSpPr>
      <xdr:grpSpPr>
        <a:xfrm>
          <a:off x="10151849" y="1486874"/>
          <a:ext cx="2404586" cy="1133644"/>
          <a:chOff x="9621761" y="1486874"/>
          <a:chExt cx="2134423" cy="1133644"/>
        </a:xfrm>
      </xdr:grpSpPr>
      <xdr:sp macro="" textlink="">
        <xdr:nvSpPr>
          <xdr:cNvPr id="40" name="Rectangle: Rounded Corners 39">
            <a:extLst>
              <a:ext uri="{FF2B5EF4-FFF2-40B4-BE49-F238E27FC236}">
                <a16:creationId xmlns:a16="http://schemas.microsoft.com/office/drawing/2014/main" id="{6323C9B6-9E50-41CB-8C88-80F14845DB07}"/>
              </a:ext>
            </a:extLst>
          </xdr:cNvPr>
          <xdr:cNvSpPr/>
        </xdr:nvSpPr>
        <xdr:spPr>
          <a:xfrm>
            <a:off x="9621761" y="1486874"/>
            <a:ext cx="2131163" cy="1133644"/>
          </a:xfrm>
          <a:prstGeom prst="roundRect">
            <a:avLst>
              <a:gd name="adj" fmla="val 19760"/>
            </a:avLst>
          </a:prstGeom>
          <a:solidFill>
            <a:schemeClr val="l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C1F417B8-2A67-A234-5775-805E5E88E108}"/>
              </a:ext>
            </a:extLst>
          </xdr:cNvPr>
          <xdr:cNvSpPr txBox="1"/>
        </xdr:nvSpPr>
        <xdr:spPr>
          <a:xfrm>
            <a:off x="9706314" y="1639957"/>
            <a:ext cx="2049870" cy="47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latin typeface="Times New Roman" panose="02020603050405020304" pitchFamily="18" charset="0"/>
                <a:cs typeface="Times New Roman" panose="02020603050405020304" pitchFamily="18" charset="0"/>
              </a:rPr>
              <a:t>Avg Daily Steps</a:t>
            </a:r>
          </a:p>
          <a:p>
            <a:endParaRPr lang="en-IN" sz="1100"/>
          </a:p>
        </xdr:txBody>
      </xdr:sp>
      <xdr:sp macro="" textlink="">
        <xdr:nvSpPr>
          <xdr:cNvPr id="6" name="TextBox 5">
            <a:extLst>
              <a:ext uri="{FF2B5EF4-FFF2-40B4-BE49-F238E27FC236}">
                <a16:creationId xmlns:a16="http://schemas.microsoft.com/office/drawing/2014/main" id="{C8EB62E4-9169-B387-A991-979F8EEAA0D7}"/>
              </a:ext>
            </a:extLst>
          </xdr:cNvPr>
          <xdr:cNvSpPr txBox="1"/>
        </xdr:nvSpPr>
        <xdr:spPr>
          <a:xfrm>
            <a:off x="10139117" y="2032100"/>
            <a:ext cx="1561648" cy="46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Times New Roman" panose="02020603050405020304" pitchFamily="18" charset="0"/>
                <a:ea typeface="+mn-ea"/>
                <a:cs typeface="Times New Roman" panose="02020603050405020304" pitchFamily="18" charset="0"/>
              </a:rPr>
              <a:t>6816.84</a:t>
            </a:r>
            <a:r>
              <a:rPr lang="en-IN">
                <a:effectLst/>
              </a:rPr>
              <a:t> </a:t>
            </a:r>
            <a:endParaRPr lang="en-IN" sz="1100"/>
          </a:p>
        </xdr:txBody>
      </xdr:sp>
    </xdr:grpSp>
    <xdr:clientData/>
  </xdr:twoCellAnchor>
  <xdr:twoCellAnchor>
    <xdr:from>
      <xdr:col>20</xdr:col>
      <xdr:colOff>318047</xdr:colOff>
      <xdr:row>8</xdr:row>
      <xdr:rowOff>30500</xdr:rowOff>
    </xdr:from>
    <xdr:to>
      <xdr:col>24</xdr:col>
      <xdr:colOff>331304</xdr:colOff>
      <xdr:row>14</xdr:row>
      <xdr:rowOff>70840</xdr:rowOff>
    </xdr:to>
    <xdr:grpSp>
      <xdr:nvGrpSpPr>
        <xdr:cNvPr id="18" name="Group 17">
          <a:extLst>
            <a:ext uri="{FF2B5EF4-FFF2-40B4-BE49-F238E27FC236}">
              <a16:creationId xmlns:a16="http://schemas.microsoft.com/office/drawing/2014/main" id="{2DDCC026-EB0F-2D9C-F3B6-394BFC16CE25}"/>
            </a:ext>
          </a:extLst>
        </xdr:cNvPr>
        <xdr:cNvGrpSpPr/>
      </xdr:nvGrpSpPr>
      <xdr:grpSpPr>
        <a:xfrm>
          <a:off x="12576308" y="1488239"/>
          <a:ext cx="2464909" cy="1133644"/>
          <a:chOff x="11797747" y="1504804"/>
          <a:chExt cx="2382379" cy="1133644"/>
        </a:xfrm>
      </xdr:grpSpPr>
      <xdr:sp macro="" textlink="">
        <xdr:nvSpPr>
          <xdr:cNvPr id="41" name="Rectangle: Rounded Corners 40">
            <a:extLst>
              <a:ext uri="{FF2B5EF4-FFF2-40B4-BE49-F238E27FC236}">
                <a16:creationId xmlns:a16="http://schemas.microsoft.com/office/drawing/2014/main" id="{39682AA7-17C8-4A6A-8777-BDF39B4B3DFF}"/>
              </a:ext>
            </a:extLst>
          </xdr:cNvPr>
          <xdr:cNvSpPr/>
        </xdr:nvSpPr>
        <xdr:spPr>
          <a:xfrm>
            <a:off x="11939333" y="1504804"/>
            <a:ext cx="2123367" cy="1133644"/>
          </a:xfrm>
          <a:prstGeom prst="roundRect">
            <a:avLst>
              <a:gd name="adj" fmla="val 19760"/>
            </a:avLst>
          </a:prstGeom>
          <a:solidFill>
            <a:schemeClr val="l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B1456643-725F-AFB8-063A-BC603301C810}"/>
              </a:ext>
            </a:extLst>
          </xdr:cNvPr>
          <xdr:cNvSpPr txBox="1"/>
        </xdr:nvSpPr>
        <xdr:spPr>
          <a:xfrm>
            <a:off x="11797747" y="1681520"/>
            <a:ext cx="2382379" cy="447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latin typeface="Times New Roman" panose="02020603050405020304" pitchFamily="18" charset="0"/>
                <a:cs typeface="Times New Roman" panose="02020603050405020304" pitchFamily="18" charset="0"/>
              </a:rPr>
              <a:t>Avg Heart Rate</a:t>
            </a:r>
          </a:p>
          <a:p>
            <a:pPr algn="ctr"/>
            <a:endParaRPr lang="en-IN" sz="1100"/>
          </a:p>
        </xdr:txBody>
      </xdr:sp>
      <xdr:sp macro="" textlink="">
        <xdr:nvSpPr>
          <xdr:cNvPr id="13" name="TextBox 12">
            <a:extLst>
              <a:ext uri="{FF2B5EF4-FFF2-40B4-BE49-F238E27FC236}">
                <a16:creationId xmlns:a16="http://schemas.microsoft.com/office/drawing/2014/main" id="{E3E899C1-D682-F156-DE40-1E3543B58D1D}"/>
              </a:ext>
            </a:extLst>
          </xdr:cNvPr>
          <xdr:cNvSpPr txBox="1"/>
        </xdr:nvSpPr>
        <xdr:spPr>
          <a:xfrm>
            <a:off x="12576916" y="2087518"/>
            <a:ext cx="1336662" cy="405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Times New Roman" panose="02020603050405020304" pitchFamily="18" charset="0"/>
                <a:ea typeface="+mn-ea"/>
                <a:cs typeface="Times New Roman" panose="02020603050405020304" pitchFamily="18" charset="0"/>
              </a:rPr>
              <a:t>70.16</a:t>
            </a:r>
            <a:endParaRPr lang="en-IN" sz="2000" b="1">
              <a:latin typeface="Times New Roman" panose="02020603050405020304" pitchFamily="18" charset="0"/>
              <a:cs typeface="Times New Roman" panose="02020603050405020304" pitchFamily="18" charset="0"/>
            </a:endParaRPr>
          </a:p>
        </xdr:txBody>
      </xdr:sp>
    </xdr:grpSp>
    <xdr:clientData/>
  </xdr:twoCellAnchor>
  <xdr:twoCellAnchor>
    <xdr:from>
      <xdr:col>23</xdr:col>
      <xdr:colOff>402565</xdr:colOff>
      <xdr:row>20</xdr:row>
      <xdr:rowOff>143774</xdr:rowOff>
    </xdr:from>
    <xdr:to>
      <xdr:col>30</xdr:col>
      <xdr:colOff>189780</xdr:colOff>
      <xdr:row>38</xdr:row>
      <xdr:rowOff>28755</xdr:rowOff>
    </xdr:to>
    <xdr:graphicFrame macro="">
      <xdr:nvGraphicFramePr>
        <xdr:cNvPr id="16" name="Chart 15">
          <a:extLst>
            <a:ext uri="{FF2B5EF4-FFF2-40B4-BE49-F238E27FC236}">
              <a16:creationId xmlns:a16="http://schemas.microsoft.com/office/drawing/2014/main" id="{C4E67D55-3676-4188-A0A4-77690C669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474452</xdr:colOff>
      <xdr:row>38</xdr:row>
      <xdr:rowOff>158150</xdr:rowOff>
    </xdr:from>
    <xdr:to>
      <xdr:col>30</xdr:col>
      <xdr:colOff>258790</xdr:colOff>
      <xdr:row>56</xdr:row>
      <xdr:rowOff>0</xdr:rowOff>
    </xdr:to>
    <xdr:graphicFrame macro="">
      <xdr:nvGraphicFramePr>
        <xdr:cNvPr id="17" name="Chart 16">
          <a:extLst>
            <a:ext uri="{FF2B5EF4-FFF2-40B4-BE49-F238E27FC236}">
              <a16:creationId xmlns:a16="http://schemas.microsoft.com/office/drawing/2014/main" id="{6EE324CF-106C-4DF3-8405-A02BBD7F9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Krishnan" refreshedDate="46225.402772453701" createdVersion="8" refreshedVersion="8" minRefreshableVersion="3" recordCount="374" xr:uid="{87972D04-DC98-4C2D-9180-2BFA5093104A}">
  <cacheSource type="worksheet">
    <worksheetSource name="Sleep_Health_and_Lifestyle_Dataset"/>
  </cacheSource>
  <cacheFields count="13">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ount="31">
        <n v="27"/>
        <n v="28"/>
        <n v="29"/>
        <n v="30"/>
        <n v="31"/>
        <n v="32"/>
        <n v="33"/>
        <n v="34"/>
        <n v="35"/>
        <n v="36"/>
        <n v="37"/>
        <n v="38"/>
        <n v="39"/>
        <n v="40"/>
        <n v="41"/>
        <n v="42"/>
        <n v="43"/>
        <n v="44"/>
        <n v="45"/>
        <n v="48"/>
        <n v="49"/>
        <n v="50"/>
        <n v="51"/>
        <n v="52"/>
        <n v="53"/>
        <n v="54"/>
        <n v="55"/>
        <n v="56"/>
        <n v="57"/>
        <n v="58"/>
        <n v="59"/>
      </sharedItems>
    </cacheField>
    <cacheField name="Occupation" numFmtId="0">
      <sharedItems/>
    </cacheField>
    <cacheField name="Sleep Duration" numFmtId="0">
      <sharedItems containsSemiMixedTypes="0" containsString="0" containsNumber="1" minValue="5.8" maxValue="8.5" count="27">
        <n v="6.1"/>
        <n v="6.2"/>
        <n v="5.9"/>
        <n v="6.3"/>
        <n v="7.8"/>
        <n v="6"/>
        <n v="6.5"/>
        <n v="7.6"/>
        <n v="7.7"/>
        <n v="7.9"/>
        <n v="6.4"/>
        <n v="7.5"/>
        <n v="7.2"/>
        <n v="5.8"/>
        <n v="6.7"/>
        <n v="7.3"/>
        <n v="7.4"/>
        <n v="7.1"/>
        <n v="6.6"/>
        <n v="6.9"/>
        <n v="8"/>
        <n v="6.8"/>
        <n v="8.1"/>
        <n v="8.3000000000000007"/>
        <n v="8.5"/>
        <n v="8.4"/>
        <n v="8.1999999999999993"/>
      </sharedItems>
    </cacheField>
    <cacheField name="Quality of Sleep" numFmtId="0">
      <sharedItems containsSemiMixedTypes="0" containsString="0" containsNumber="1" containsInteger="1" minValue="4" maxValue="9"/>
    </cacheField>
    <cacheField name="Physical Activity Level" numFmtId="0">
      <sharedItems containsSemiMixedTypes="0" containsString="0" containsNumber="1" containsInteger="1" minValue="30" maxValue="90"/>
    </cacheField>
    <cacheField name="Stress Level" numFmtId="0">
      <sharedItems containsSemiMixedTypes="0" containsString="0" containsNumber="1" containsInteger="1" minValue="3" maxValue="8"/>
    </cacheField>
    <cacheField name="BMI Category" numFmtId="0">
      <sharedItems count="4">
        <s v="Overweight"/>
        <s v="Normal"/>
        <s v="Obese"/>
        <s v="Normal Weight"/>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ount="20">
        <n v="4200"/>
        <n v="10000"/>
        <n v="3000"/>
        <n v="3500"/>
        <n v="8000"/>
        <n v="4000"/>
        <n v="4100"/>
        <n v="6800"/>
        <n v="5000"/>
        <n v="7000"/>
        <n v="5500"/>
        <n v="5200"/>
        <n v="5600"/>
        <n v="3300"/>
        <n v="4800"/>
        <n v="7500"/>
        <n v="7300"/>
        <n v="6200"/>
        <n v="6000"/>
        <n v="3700"/>
      </sharedItems>
    </cacheField>
    <cacheField name="Sleep Disorder" numFmtId="0">
      <sharedItems/>
    </cacheField>
  </cacheFields>
  <extLst>
    <ext xmlns:x14="http://schemas.microsoft.com/office/spreadsheetml/2009/9/main" uri="{725AE2AE-9491-48be-B2B4-4EB974FC3084}">
      <x14:pivotCacheDefinition pivotCacheId="17726678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Krishnan" refreshedDate="46225.616897916669" backgroundQuery="1" createdVersion="8" refreshedVersion="8" minRefreshableVersion="3" recordCount="374" xr:uid="{B209D6F6-0071-4461-9C06-5BA7CDCD07E7}">
  <cacheSource type="external" connectionId="2"/>
  <cacheFields count="13">
    <cacheField name="Person ID" numFmtId="0">
      <sharedItems containsSemiMixedTypes="0" containsString="0" containsNumber="1" containsInteger="1" minValue="1" maxValue="374" count="37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sharedItems>
    </cacheField>
    <cacheField name="Gender" numFmtId="0">
      <sharedItems count="2">
        <s v="Male"/>
        <s v="Female"/>
      </sharedItems>
    </cacheField>
    <cacheField name="Age" numFmtId="0">
      <sharedItems containsSemiMixedTypes="0" containsString="0" containsNumber="1" containsInteger="1" minValue="27" maxValue="59"/>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ount="27">
        <n v="6.1"/>
        <n v="6.2"/>
        <n v="5.9"/>
        <n v="6.3"/>
        <n v="7.8"/>
        <n v="6"/>
        <n v="6.5"/>
        <n v="7.6"/>
        <n v="7.7"/>
        <n v="7.9"/>
        <n v="6.4"/>
        <n v="7.5"/>
        <n v="7.2"/>
        <n v="5.8"/>
        <n v="6.7"/>
        <n v="7.3"/>
        <n v="7.4"/>
        <n v="7.1"/>
        <n v="6.6"/>
        <n v="6.9"/>
        <n v="8"/>
        <n v="6.8"/>
        <n v="8.1"/>
        <n v="8.3000000000000007"/>
        <n v="8.5"/>
        <n v="8.4"/>
        <n v="8.1999999999999993"/>
      </sharedItems>
    </cacheField>
    <cacheField name="Quality of Sleep" numFmtId="0">
      <sharedItems containsSemiMixedTypes="0" containsString="0" containsNumber="1" containsInteger="1" minValue="4" maxValue="9" count="6">
        <n v="6"/>
        <n v="4"/>
        <n v="7"/>
        <n v="5"/>
        <n v="8"/>
        <n v="9"/>
      </sharedItems>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ount="4">
        <s v="Overweight"/>
        <s v="Normal"/>
        <s v="Obese"/>
        <s v="Normal Weight"/>
      </sharedItems>
    </cacheField>
    <cacheField name="Blood Pressure" numFmtId="0">
      <sharedItems count="25">
        <s v="126/83"/>
        <s v="125/80"/>
        <s v="140/90"/>
        <s v="120/80"/>
        <s v="132/87"/>
        <s v="130/86"/>
        <s v="117/76"/>
        <s v="118/76"/>
        <s v="128/85"/>
        <s v="131/86"/>
        <s v="128/84"/>
        <s v="115/75"/>
        <s v="135/88"/>
        <s v="129/84"/>
        <s v="130/85"/>
        <s v="115/78"/>
        <s v="119/77"/>
        <s v="121/79"/>
        <s v="125/82"/>
        <s v="135/90"/>
        <s v="122/80"/>
        <s v="142/92"/>
        <s v="140/95"/>
        <s v="139/91"/>
        <s v="118/75"/>
      </sharedItems>
    </cacheField>
    <cacheField name="Heart Rate" numFmtId="0">
      <sharedItems containsSemiMixedTypes="0" containsString="0" containsNumber="1" containsInteger="1" minValue="65" maxValue="86" count="19">
        <n v="77"/>
        <n v="75"/>
        <n v="85"/>
        <n v="82"/>
        <n v="70"/>
        <n v="80"/>
        <n v="78"/>
        <n v="69"/>
        <n v="72"/>
        <n v="68"/>
        <n v="76"/>
        <n v="81"/>
        <n v="65"/>
        <n v="84"/>
        <n v="74"/>
        <n v="67"/>
        <n v="73"/>
        <n v="83"/>
        <n v="86"/>
      </sharedItems>
    </cacheField>
    <cacheField name="Daily Steps" numFmtId="0">
      <sharedItems containsSemiMixedTypes="0" containsString="0" containsNumber="1" containsInteger="1" minValue="3000" maxValue="10000" count="20">
        <n v="4200"/>
        <n v="10000"/>
        <n v="3000"/>
        <n v="3500"/>
        <n v="8000"/>
        <n v="4000"/>
        <n v="4100"/>
        <n v="6800"/>
        <n v="5000"/>
        <n v="7000"/>
        <n v="5500"/>
        <n v="5200"/>
        <n v="5600"/>
        <n v="3300"/>
        <n v="4800"/>
        <n v="7500"/>
        <n v="7300"/>
        <n v="6200"/>
        <n v="6000"/>
        <n v="3700"/>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Krishnan" refreshedDate="46225.683996064814" backgroundQuery="1" createdVersion="8" refreshedVersion="8" minRefreshableVersion="3" recordCount="374" xr:uid="{89FBA567-D735-44E0-9BF7-A4A538FFE833}">
  <cacheSource type="external" connectionId="3"/>
  <cacheFields count="13">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ount="27">
        <n v="6.1"/>
        <n v="6.2"/>
        <n v="5.9"/>
        <n v="6.3"/>
        <n v="7.8"/>
        <n v="6"/>
        <n v="6.5"/>
        <n v="7.6"/>
        <n v="7.7"/>
        <n v="7.9"/>
        <n v="6.4"/>
        <n v="7.5"/>
        <n v="7.2"/>
        <n v="5.8"/>
        <n v="6.7"/>
        <n v="7.3"/>
        <n v="7.4"/>
        <n v="7.1"/>
        <n v="6.6"/>
        <n v="6.9"/>
        <n v="8"/>
        <n v="6.8"/>
        <n v="8.1"/>
        <n v="8.3000000000000007"/>
        <n v="8.5"/>
        <n v="8.4"/>
        <n v="8.1999999999999993"/>
      </sharedItems>
    </cacheField>
    <cacheField name="Quality of Sleep" numFmtId="0">
      <sharedItems containsSemiMixedTypes="0" containsString="0" containsNumber="1" containsInteger="1" minValue="4" maxValue="9" count="6">
        <n v="6"/>
        <n v="4"/>
        <n v="7"/>
        <n v="5"/>
        <n v="8"/>
        <n v="9"/>
      </sharedItems>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ount="4">
        <s v="Overweight"/>
        <s v="Normal"/>
        <s v="Obese"/>
        <s v="Normal Weight"/>
      </sharedItems>
    </cacheField>
    <cacheField name="Blood Pressure" numFmtId="0">
      <sharedItems count="25">
        <s v="126/83"/>
        <s v="125/80"/>
        <s v="140/90"/>
        <s v="120/80"/>
        <s v="132/87"/>
        <s v="130/86"/>
        <s v="117/76"/>
        <s v="118/76"/>
        <s v="128/85"/>
        <s v="131/86"/>
        <s v="128/84"/>
        <s v="115/75"/>
        <s v="135/88"/>
        <s v="129/84"/>
        <s v="130/85"/>
        <s v="115/78"/>
        <s v="119/77"/>
        <s v="121/79"/>
        <s v="125/82"/>
        <s v="135/90"/>
        <s v="122/80"/>
        <s v="142/92"/>
        <s v="140/95"/>
        <s v="139/91"/>
        <s v="118/75"/>
      </sharedItems>
    </cacheField>
    <cacheField name="Heart Rate" numFmtId="0">
      <sharedItems containsSemiMixedTypes="0" containsString="0" containsNumber="1" containsInteger="1" minValue="65" maxValue="86" count="19">
        <n v="77"/>
        <n v="75"/>
        <n v="85"/>
        <n v="82"/>
        <n v="70"/>
        <n v="80"/>
        <n v="78"/>
        <n v="69"/>
        <n v="72"/>
        <n v="68"/>
        <n v="76"/>
        <n v="81"/>
        <n v="65"/>
        <n v="84"/>
        <n v="74"/>
        <n v="67"/>
        <n v="73"/>
        <n v="83"/>
        <n v="86"/>
      </sharedItems>
    </cacheField>
    <cacheField name="Daily Steps" numFmtId="0">
      <sharedItems containsSemiMixedTypes="0" containsString="0" containsNumber="1" containsInteger="1" minValue="3000" maxValue="10000" count="20">
        <n v="4200"/>
        <n v="10000"/>
        <n v="3000"/>
        <n v="3500"/>
        <n v="8000"/>
        <n v="4000"/>
        <n v="4100"/>
        <n v="6800"/>
        <n v="5000"/>
        <n v="7000"/>
        <n v="5500"/>
        <n v="5200"/>
        <n v="5600"/>
        <n v="3300"/>
        <n v="4800"/>
        <n v="7500"/>
        <n v="7300"/>
        <n v="6200"/>
        <n v="6000"/>
        <n v="3700"/>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63568737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Krishnan" refreshedDate="46225.693284490742" backgroundQuery="1" createdVersion="8" refreshedVersion="8" minRefreshableVersion="3" recordCount="374" xr:uid="{1C0872E0-2DE1-4C7B-8F69-71B7A45FC07B}">
  <cacheSource type="external" connectionId="4"/>
  <cacheFields count="13">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ount="27">
        <n v="6.1"/>
        <n v="6.2"/>
        <n v="5.9"/>
        <n v="6.3"/>
        <n v="7.8"/>
        <n v="6"/>
        <n v="6.5"/>
        <n v="7.6"/>
        <n v="7.7"/>
        <n v="7.9"/>
        <n v="6.4"/>
        <n v="7.5"/>
        <n v="7.2"/>
        <n v="5.8"/>
        <n v="6.7"/>
        <n v="7.3"/>
        <n v="7.4"/>
        <n v="7.1"/>
        <n v="6.6"/>
        <n v="6.9"/>
        <n v="8"/>
        <n v="6.8"/>
        <n v="8.1"/>
        <n v="8.3000000000000007"/>
        <n v="8.5"/>
        <n v="8.4"/>
        <n v="8.1999999999999993"/>
      </sharedItems>
    </cacheField>
    <cacheField name="Quality of Sleep" numFmtId="0">
      <sharedItems containsSemiMixedTypes="0" containsString="0" containsNumber="1" containsInteger="1" minValue="4" maxValue="9" count="6">
        <n v="6"/>
        <n v="4"/>
        <n v="7"/>
        <n v="5"/>
        <n v="8"/>
        <n v="9"/>
      </sharedItems>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ount="4">
        <s v="Overweight"/>
        <s v="Normal"/>
        <s v="Obese"/>
        <s v="Normal Weight"/>
      </sharedItems>
    </cacheField>
    <cacheField name="Blood Pressure" numFmtId="0">
      <sharedItems count="25">
        <s v="126/83"/>
        <s v="125/80"/>
        <s v="140/90"/>
        <s v="120/80"/>
        <s v="132/87"/>
        <s v="130/86"/>
        <s v="117/76"/>
        <s v="118/76"/>
        <s v="128/85"/>
        <s v="131/86"/>
        <s v="128/84"/>
        <s v="115/75"/>
        <s v="135/88"/>
        <s v="129/84"/>
        <s v="130/85"/>
        <s v="115/78"/>
        <s v="119/77"/>
        <s v="121/79"/>
        <s v="125/82"/>
        <s v="135/90"/>
        <s v="122/80"/>
        <s v="142/92"/>
        <s v="140/95"/>
        <s v="139/91"/>
        <s v="118/75"/>
      </sharedItems>
    </cacheField>
    <cacheField name="Heart Rate" numFmtId="0">
      <sharedItems containsSemiMixedTypes="0" containsString="0" containsNumber="1" containsInteger="1" minValue="65" maxValue="86" count="19">
        <n v="77"/>
        <n v="75"/>
        <n v="85"/>
        <n v="82"/>
        <n v="70"/>
        <n v="80"/>
        <n v="78"/>
        <n v="69"/>
        <n v="72"/>
        <n v="68"/>
        <n v="76"/>
        <n v="81"/>
        <n v="65"/>
        <n v="84"/>
        <n v="74"/>
        <n v="67"/>
        <n v="73"/>
        <n v="83"/>
        <n v="86"/>
      </sharedItems>
    </cacheField>
    <cacheField name="Daily Steps" numFmtId="0">
      <sharedItems containsSemiMixedTypes="0" containsString="0" containsNumber="1" containsInteger="1" minValue="3000" maxValue="10000" count="20">
        <n v="4200"/>
        <n v="10000"/>
        <n v="3000"/>
        <n v="3500"/>
        <n v="8000"/>
        <n v="4000"/>
        <n v="4100"/>
        <n v="6800"/>
        <n v="5000"/>
        <n v="7000"/>
        <n v="5500"/>
        <n v="5200"/>
        <n v="5600"/>
        <n v="3300"/>
        <n v="4800"/>
        <n v="7500"/>
        <n v="7300"/>
        <n v="6200"/>
        <n v="6000"/>
        <n v="3700"/>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x v="0"/>
    <s v="Software Engineer"/>
    <x v="0"/>
    <n v="6"/>
    <n v="42"/>
    <n v="6"/>
    <x v="0"/>
    <s v="126/83"/>
    <n v="77"/>
    <x v="0"/>
    <s v="None"/>
  </r>
  <r>
    <n v="2"/>
    <x v="0"/>
    <x v="1"/>
    <s v="Doctor"/>
    <x v="1"/>
    <n v="6"/>
    <n v="60"/>
    <n v="8"/>
    <x v="1"/>
    <s v="125/80"/>
    <n v="75"/>
    <x v="1"/>
    <s v="None"/>
  </r>
  <r>
    <n v="3"/>
    <x v="0"/>
    <x v="1"/>
    <s v="Doctor"/>
    <x v="1"/>
    <n v="6"/>
    <n v="60"/>
    <n v="8"/>
    <x v="1"/>
    <s v="125/80"/>
    <n v="75"/>
    <x v="1"/>
    <s v="None"/>
  </r>
  <r>
    <n v="4"/>
    <x v="0"/>
    <x v="1"/>
    <s v="Sales Representative"/>
    <x v="2"/>
    <n v="4"/>
    <n v="30"/>
    <n v="8"/>
    <x v="2"/>
    <s v="140/90"/>
    <n v="85"/>
    <x v="2"/>
    <s v="Sleep Apnea"/>
  </r>
  <r>
    <n v="5"/>
    <x v="0"/>
    <x v="1"/>
    <s v="Sales Representative"/>
    <x v="2"/>
    <n v="4"/>
    <n v="30"/>
    <n v="8"/>
    <x v="2"/>
    <s v="140/90"/>
    <n v="85"/>
    <x v="2"/>
    <s v="Sleep Apnea"/>
  </r>
  <r>
    <n v="6"/>
    <x v="0"/>
    <x v="1"/>
    <s v="Software Engineer"/>
    <x v="2"/>
    <n v="4"/>
    <n v="30"/>
    <n v="8"/>
    <x v="2"/>
    <s v="140/90"/>
    <n v="85"/>
    <x v="2"/>
    <s v="Insomnia"/>
  </r>
  <r>
    <n v="7"/>
    <x v="0"/>
    <x v="2"/>
    <s v="Teacher"/>
    <x v="3"/>
    <n v="6"/>
    <n v="40"/>
    <n v="7"/>
    <x v="2"/>
    <s v="140/90"/>
    <n v="82"/>
    <x v="3"/>
    <s v="Insomnia"/>
  </r>
  <r>
    <n v="8"/>
    <x v="0"/>
    <x v="2"/>
    <s v="Doctor"/>
    <x v="4"/>
    <n v="7"/>
    <n v="75"/>
    <n v="6"/>
    <x v="1"/>
    <s v="120/80"/>
    <n v="70"/>
    <x v="4"/>
    <s v="None"/>
  </r>
  <r>
    <n v="9"/>
    <x v="0"/>
    <x v="2"/>
    <s v="Doctor"/>
    <x v="4"/>
    <n v="7"/>
    <n v="75"/>
    <n v="6"/>
    <x v="1"/>
    <s v="120/80"/>
    <n v="70"/>
    <x v="4"/>
    <s v="None"/>
  </r>
  <r>
    <n v="10"/>
    <x v="0"/>
    <x v="2"/>
    <s v="Doctor"/>
    <x v="4"/>
    <n v="7"/>
    <n v="75"/>
    <n v="6"/>
    <x v="1"/>
    <s v="120/80"/>
    <n v="70"/>
    <x v="4"/>
    <s v="None"/>
  </r>
  <r>
    <n v="11"/>
    <x v="0"/>
    <x v="2"/>
    <s v="Doctor"/>
    <x v="0"/>
    <n v="6"/>
    <n v="30"/>
    <n v="8"/>
    <x v="1"/>
    <s v="120/80"/>
    <n v="70"/>
    <x v="4"/>
    <s v="None"/>
  </r>
  <r>
    <n v="12"/>
    <x v="0"/>
    <x v="2"/>
    <s v="Doctor"/>
    <x v="4"/>
    <n v="7"/>
    <n v="75"/>
    <n v="6"/>
    <x v="1"/>
    <s v="120/80"/>
    <n v="70"/>
    <x v="4"/>
    <s v="None"/>
  </r>
  <r>
    <n v="13"/>
    <x v="0"/>
    <x v="2"/>
    <s v="Doctor"/>
    <x v="0"/>
    <n v="6"/>
    <n v="30"/>
    <n v="8"/>
    <x v="1"/>
    <s v="120/80"/>
    <n v="70"/>
    <x v="4"/>
    <s v="None"/>
  </r>
  <r>
    <n v="14"/>
    <x v="0"/>
    <x v="2"/>
    <s v="Doctor"/>
    <x v="5"/>
    <n v="6"/>
    <n v="30"/>
    <n v="8"/>
    <x v="1"/>
    <s v="120/80"/>
    <n v="70"/>
    <x v="4"/>
    <s v="None"/>
  </r>
  <r>
    <n v="15"/>
    <x v="0"/>
    <x v="2"/>
    <s v="Doctor"/>
    <x v="5"/>
    <n v="6"/>
    <n v="30"/>
    <n v="8"/>
    <x v="1"/>
    <s v="120/80"/>
    <n v="70"/>
    <x v="4"/>
    <s v="None"/>
  </r>
  <r>
    <n v="16"/>
    <x v="0"/>
    <x v="2"/>
    <s v="Doctor"/>
    <x v="5"/>
    <n v="6"/>
    <n v="30"/>
    <n v="8"/>
    <x v="1"/>
    <s v="120/80"/>
    <n v="70"/>
    <x v="4"/>
    <s v="None"/>
  </r>
  <r>
    <n v="17"/>
    <x v="1"/>
    <x v="2"/>
    <s v="Nurse"/>
    <x v="6"/>
    <n v="5"/>
    <n v="40"/>
    <n v="7"/>
    <x v="3"/>
    <s v="132/87"/>
    <n v="80"/>
    <x v="5"/>
    <s v="Sleep Apnea"/>
  </r>
  <r>
    <n v="18"/>
    <x v="0"/>
    <x v="2"/>
    <s v="Doctor"/>
    <x v="5"/>
    <n v="6"/>
    <n v="30"/>
    <n v="8"/>
    <x v="1"/>
    <s v="120/80"/>
    <n v="70"/>
    <x v="4"/>
    <s v="Sleep Apnea"/>
  </r>
  <r>
    <n v="19"/>
    <x v="1"/>
    <x v="2"/>
    <s v="Nurse"/>
    <x v="6"/>
    <n v="5"/>
    <n v="40"/>
    <n v="7"/>
    <x v="3"/>
    <s v="132/87"/>
    <n v="80"/>
    <x v="5"/>
    <s v="Insomnia"/>
  </r>
  <r>
    <n v="20"/>
    <x v="0"/>
    <x v="3"/>
    <s v="Doctor"/>
    <x v="7"/>
    <n v="7"/>
    <n v="75"/>
    <n v="6"/>
    <x v="1"/>
    <s v="120/80"/>
    <n v="70"/>
    <x v="4"/>
    <s v="None"/>
  </r>
  <r>
    <n v="21"/>
    <x v="0"/>
    <x v="3"/>
    <s v="Doctor"/>
    <x v="8"/>
    <n v="7"/>
    <n v="75"/>
    <n v="6"/>
    <x v="1"/>
    <s v="120/80"/>
    <n v="70"/>
    <x v="4"/>
    <s v="None"/>
  </r>
  <r>
    <n v="22"/>
    <x v="0"/>
    <x v="3"/>
    <s v="Doctor"/>
    <x v="8"/>
    <n v="7"/>
    <n v="75"/>
    <n v="6"/>
    <x v="1"/>
    <s v="120/80"/>
    <n v="70"/>
    <x v="4"/>
    <s v="None"/>
  </r>
  <r>
    <n v="23"/>
    <x v="0"/>
    <x v="3"/>
    <s v="Doctor"/>
    <x v="8"/>
    <n v="7"/>
    <n v="75"/>
    <n v="6"/>
    <x v="1"/>
    <s v="120/80"/>
    <n v="70"/>
    <x v="4"/>
    <s v="None"/>
  </r>
  <r>
    <n v="24"/>
    <x v="0"/>
    <x v="3"/>
    <s v="Doctor"/>
    <x v="8"/>
    <n v="7"/>
    <n v="75"/>
    <n v="6"/>
    <x v="1"/>
    <s v="120/80"/>
    <n v="70"/>
    <x v="4"/>
    <s v="None"/>
  </r>
  <r>
    <n v="25"/>
    <x v="0"/>
    <x v="3"/>
    <s v="Doctor"/>
    <x v="4"/>
    <n v="7"/>
    <n v="75"/>
    <n v="6"/>
    <x v="1"/>
    <s v="120/80"/>
    <n v="70"/>
    <x v="4"/>
    <s v="None"/>
  </r>
  <r>
    <n v="26"/>
    <x v="0"/>
    <x v="3"/>
    <s v="Doctor"/>
    <x v="9"/>
    <n v="7"/>
    <n v="75"/>
    <n v="6"/>
    <x v="1"/>
    <s v="120/80"/>
    <n v="70"/>
    <x v="4"/>
    <s v="None"/>
  </r>
  <r>
    <n v="27"/>
    <x v="0"/>
    <x v="3"/>
    <s v="Doctor"/>
    <x v="4"/>
    <n v="7"/>
    <n v="75"/>
    <n v="6"/>
    <x v="1"/>
    <s v="120/80"/>
    <n v="70"/>
    <x v="4"/>
    <s v="None"/>
  </r>
  <r>
    <n v="28"/>
    <x v="0"/>
    <x v="3"/>
    <s v="Doctor"/>
    <x v="9"/>
    <n v="7"/>
    <n v="75"/>
    <n v="6"/>
    <x v="1"/>
    <s v="120/80"/>
    <n v="70"/>
    <x v="4"/>
    <s v="None"/>
  </r>
  <r>
    <n v="29"/>
    <x v="0"/>
    <x v="3"/>
    <s v="Doctor"/>
    <x v="9"/>
    <n v="7"/>
    <n v="75"/>
    <n v="6"/>
    <x v="1"/>
    <s v="120/80"/>
    <n v="70"/>
    <x v="4"/>
    <s v="None"/>
  </r>
  <r>
    <n v="30"/>
    <x v="0"/>
    <x v="3"/>
    <s v="Doctor"/>
    <x v="9"/>
    <n v="7"/>
    <n v="75"/>
    <n v="6"/>
    <x v="1"/>
    <s v="120/80"/>
    <n v="70"/>
    <x v="4"/>
    <s v="None"/>
  </r>
  <r>
    <n v="31"/>
    <x v="1"/>
    <x v="3"/>
    <s v="Nurse"/>
    <x v="10"/>
    <n v="5"/>
    <n v="35"/>
    <n v="7"/>
    <x v="3"/>
    <s v="130/86"/>
    <n v="78"/>
    <x v="6"/>
    <s v="Sleep Apnea"/>
  </r>
  <r>
    <n v="32"/>
    <x v="1"/>
    <x v="3"/>
    <s v="Nurse"/>
    <x v="10"/>
    <n v="5"/>
    <n v="35"/>
    <n v="7"/>
    <x v="3"/>
    <s v="130/86"/>
    <n v="78"/>
    <x v="6"/>
    <s v="Insomnia"/>
  </r>
  <r>
    <n v="33"/>
    <x v="1"/>
    <x v="4"/>
    <s v="Nurse"/>
    <x v="9"/>
    <n v="8"/>
    <n v="75"/>
    <n v="4"/>
    <x v="3"/>
    <s v="117/76"/>
    <n v="69"/>
    <x v="7"/>
    <s v="None"/>
  </r>
  <r>
    <n v="34"/>
    <x v="0"/>
    <x v="4"/>
    <s v="Doctor"/>
    <x v="0"/>
    <n v="6"/>
    <n v="30"/>
    <n v="8"/>
    <x v="1"/>
    <s v="125/80"/>
    <n v="72"/>
    <x v="8"/>
    <s v="None"/>
  </r>
  <r>
    <n v="35"/>
    <x v="0"/>
    <x v="4"/>
    <s v="Doctor"/>
    <x v="8"/>
    <n v="7"/>
    <n v="75"/>
    <n v="6"/>
    <x v="1"/>
    <s v="120/80"/>
    <n v="70"/>
    <x v="4"/>
    <s v="None"/>
  </r>
  <r>
    <n v="36"/>
    <x v="0"/>
    <x v="4"/>
    <s v="Doctor"/>
    <x v="0"/>
    <n v="6"/>
    <n v="30"/>
    <n v="8"/>
    <x v="1"/>
    <s v="125/80"/>
    <n v="72"/>
    <x v="8"/>
    <s v="None"/>
  </r>
  <r>
    <n v="37"/>
    <x v="0"/>
    <x v="4"/>
    <s v="Doctor"/>
    <x v="0"/>
    <n v="6"/>
    <n v="30"/>
    <n v="8"/>
    <x v="1"/>
    <s v="125/80"/>
    <n v="72"/>
    <x v="8"/>
    <s v="None"/>
  </r>
  <r>
    <n v="38"/>
    <x v="0"/>
    <x v="4"/>
    <s v="Doctor"/>
    <x v="7"/>
    <n v="7"/>
    <n v="75"/>
    <n v="6"/>
    <x v="1"/>
    <s v="120/80"/>
    <n v="70"/>
    <x v="4"/>
    <s v="None"/>
  </r>
  <r>
    <n v="39"/>
    <x v="0"/>
    <x v="4"/>
    <s v="Doctor"/>
    <x v="7"/>
    <n v="7"/>
    <n v="75"/>
    <n v="6"/>
    <x v="1"/>
    <s v="120/80"/>
    <n v="70"/>
    <x v="4"/>
    <s v="None"/>
  </r>
  <r>
    <n v="40"/>
    <x v="0"/>
    <x v="4"/>
    <s v="Doctor"/>
    <x v="7"/>
    <n v="7"/>
    <n v="75"/>
    <n v="6"/>
    <x v="1"/>
    <s v="120/80"/>
    <n v="70"/>
    <x v="4"/>
    <s v="None"/>
  </r>
  <r>
    <n v="41"/>
    <x v="0"/>
    <x v="4"/>
    <s v="Doctor"/>
    <x v="8"/>
    <n v="7"/>
    <n v="75"/>
    <n v="6"/>
    <x v="1"/>
    <s v="120/80"/>
    <n v="70"/>
    <x v="4"/>
    <s v="None"/>
  </r>
  <r>
    <n v="42"/>
    <x v="0"/>
    <x v="4"/>
    <s v="Doctor"/>
    <x v="8"/>
    <n v="7"/>
    <n v="75"/>
    <n v="6"/>
    <x v="1"/>
    <s v="120/80"/>
    <n v="70"/>
    <x v="4"/>
    <s v="None"/>
  </r>
  <r>
    <n v="43"/>
    <x v="0"/>
    <x v="4"/>
    <s v="Doctor"/>
    <x v="8"/>
    <n v="7"/>
    <n v="75"/>
    <n v="6"/>
    <x v="1"/>
    <s v="120/80"/>
    <n v="70"/>
    <x v="4"/>
    <s v="None"/>
  </r>
  <r>
    <n v="44"/>
    <x v="0"/>
    <x v="4"/>
    <s v="Doctor"/>
    <x v="4"/>
    <n v="7"/>
    <n v="75"/>
    <n v="6"/>
    <x v="1"/>
    <s v="120/80"/>
    <n v="70"/>
    <x v="4"/>
    <s v="None"/>
  </r>
  <r>
    <n v="45"/>
    <x v="0"/>
    <x v="4"/>
    <s v="Doctor"/>
    <x v="8"/>
    <n v="7"/>
    <n v="75"/>
    <n v="6"/>
    <x v="1"/>
    <s v="120/80"/>
    <n v="70"/>
    <x v="4"/>
    <s v="None"/>
  </r>
  <r>
    <n v="46"/>
    <x v="0"/>
    <x v="4"/>
    <s v="Doctor"/>
    <x v="4"/>
    <n v="7"/>
    <n v="75"/>
    <n v="6"/>
    <x v="1"/>
    <s v="120/80"/>
    <n v="70"/>
    <x v="4"/>
    <s v="None"/>
  </r>
  <r>
    <n v="47"/>
    <x v="0"/>
    <x v="4"/>
    <s v="Doctor"/>
    <x v="8"/>
    <n v="7"/>
    <n v="75"/>
    <n v="6"/>
    <x v="1"/>
    <s v="120/80"/>
    <n v="70"/>
    <x v="4"/>
    <s v="None"/>
  </r>
  <r>
    <n v="48"/>
    <x v="0"/>
    <x v="4"/>
    <s v="Doctor"/>
    <x v="4"/>
    <n v="7"/>
    <n v="75"/>
    <n v="6"/>
    <x v="1"/>
    <s v="120/80"/>
    <n v="70"/>
    <x v="4"/>
    <s v="None"/>
  </r>
  <r>
    <n v="49"/>
    <x v="0"/>
    <x v="4"/>
    <s v="Doctor"/>
    <x v="8"/>
    <n v="7"/>
    <n v="75"/>
    <n v="6"/>
    <x v="1"/>
    <s v="120/80"/>
    <n v="70"/>
    <x v="4"/>
    <s v="None"/>
  </r>
  <r>
    <n v="50"/>
    <x v="0"/>
    <x v="4"/>
    <s v="Doctor"/>
    <x v="8"/>
    <n v="7"/>
    <n v="75"/>
    <n v="6"/>
    <x v="1"/>
    <s v="120/80"/>
    <n v="70"/>
    <x v="4"/>
    <s v="Sleep Apnea"/>
  </r>
  <r>
    <n v="51"/>
    <x v="0"/>
    <x v="5"/>
    <s v="Engineer"/>
    <x v="11"/>
    <n v="8"/>
    <n v="45"/>
    <n v="3"/>
    <x v="1"/>
    <s v="120/80"/>
    <n v="70"/>
    <x v="4"/>
    <s v="None"/>
  </r>
  <r>
    <n v="52"/>
    <x v="0"/>
    <x v="5"/>
    <s v="Engineer"/>
    <x v="11"/>
    <n v="8"/>
    <n v="45"/>
    <n v="3"/>
    <x v="1"/>
    <s v="120/80"/>
    <n v="70"/>
    <x v="4"/>
    <s v="None"/>
  </r>
  <r>
    <n v="53"/>
    <x v="0"/>
    <x v="5"/>
    <s v="Doctor"/>
    <x v="5"/>
    <n v="6"/>
    <n v="30"/>
    <n v="8"/>
    <x v="1"/>
    <s v="125/80"/>
    <n v="72"/>
    <x v="8"/>
    <s v="None"/>
  </r>
  <r>
    <n v="54"/>
    <x v="0"/>
    <x v="5"/>
    <s v="Doctor"/>
    <x v="7"/>
    <n v="7"/>
    <n v="75"/>
    <n v="6"/>
    <x v="1"/>
    <s v="120/80"/>
    <n v="70"/>
    <x v="4"/>
    <s v="None"/>
  </r>
  <r>
    <n v="55"/>
    <x v="0"/>
    <x v="5"/>
    <s v="Doctor"/>
    <x v="5"/>
    <n v="6"/>
    <n v="30"/>
    <n v="8"/>
    <x v="1"/>
    <s v="125/80"/>
    <n v="72"/>
    <x v="8"/>
    <s v="None"/>
  </r>
  <r>
    <n v="56"/>
    <x v="0"/>
    <x v="5"/>
    <s v="Doctor"/>
    <x v="5"/>
    <n v="6"/>
    <n v="30"/>
    <n v="8"/>
    <x v="1"/>
    <s v="125/80"/>
    <n v="72"/>
    <x v="8"/>
    <s v="None"/>
  </r>
  <r>
    <n v="57"/>
    <x v="0"/>
    <x v="5"/>
    <s v="Doctor"/>
    <x v="8"/>
    <n v="7"/>
    <n v="75"/>
    <n v="6"/>
    <x v="1"/>
    <s v="120/80"/>
    <n v="70"/>
    <x v="4"/>
    <s v="None"/>
  </r>
  <r>
    <n v="58"/>
    <x v="0"/>
    <x v="5"/>
    <s v="Doctor"/>
    <x v="5"/>
    <n v="6"/>
    <n v="30"/>
    <n v="8"/>
    <x v="1"/>
    <s v="125/80"/>
    <n v="72"/>
    <x v="8"/>
    <s v="None"/>
  </r>
  <r>
    <n v="59"/>
    <x v="0"/>
    <x v="5"/>
    <s v="Doctor"/>
    <x v="5"/>
    <n v="6"/>
    <n v="30"/>
    <n v="8"/>
    <x v="1"/>
    <s v="125/80"/>
    <n v="72"/>
    <x v="8"/>
    <s v="None"/>
  </r>
  <r>
    <n v="60"/>
    <x v="0"/>
    <x v="5"/>
    <s v="Doctor"/>
    <x v="8"/>
    <n v="7"/>
    <n v="75"/>
    <n v="6"/>
    <x v="1"/>
    <s v="120/80"/>
    <n v="70"/>
    <x v="4"/>
    <s v="None"/>
  </r>
  <r>
    <n v="61"/>
    <x v="0"/>
    <x v="5"/>
    <s v="Doctor"/>
    <x v="5"/>
    <n v="6"/>
    <n v="30"/>
    <n v="8"/>
    <x v="1"/>
    <s v="125/80"/>
    <n v="72"/>
    <x v="8"/>
    <s v="None"/>
  </r>
  <r>
    <n v="62"/>
    <x v="0"/>
    <x v="5"/>
    <s v="Doctor"/>
    <x v="5"/>
    <n v="6"/>
    <n v="30"/>
    <n v="8"/>
    <x v="1"/>
    <s v="125/80"/>
    <n v="72"/>
    <x v="8"/>
    <s v="None"/>
  </r>
  <r>
    <n v="63"/>
    <x v="0"/>
    <x v="5"/>
    <s v="Doctor"/>
    <x v="1"/>
    <n v="6"/>
    <n v="30"/>
    <n v="8"/>
    <x v="1"/>
    <s v="125/80"/>
    <n v="72"/>
    <x v="8"/>
    <s v="None"/>
  </r>
  <r>
    <n v="64"/>
    <x v="0"/>
    <x v="5"/>
    <s v="Doctor"/>
    <x v="1"/>
    <n v="6"/>
    <n v="30"/>
    <n v="8"/>
    <x v="1"/>
    <s v="125/80"/>
    <n v="72"/>
    <x v="8"/>
    <s v="None"/>
  </r>
  <r>
    <n v="65"/>
    <x v="0"/>
    <x v="5"/>
    <s v="Doctor"/>
    <x v="1"/>
    <n v="6"/>
    <n v="30"/>
    <n v="8"/>
    <x v="1"/>
    <s v="125/80"/>
    <n v="72"/>
    <x v="8"/>
    <s v="None"/>
  </r>
  <r>
    <n v="66"/>
    <x v="0"/>
    <x v="5"/>
    <s v="Doctor"/>
    <x v="1"/>
    <n v="6"/>
    <n v="30"/>
    <n v="8"/>
    <x v="1"/>
    <s v="125/80"/>
    <n v="72"/>
    <x v="8"/>
    <s v="None"/>
  </r>
  <r>
    <n v="67"/>
    <x v="0"/>
    <x v="5"/>
    <s v="Accountant"/>
    <x v="12"/>
    <n v="8"/>
    <n v="50"/>
    <n v="6"/>
    <x v="3"/>
    <s v="118/76"/>
    <n v="68"/>
    <x v="9"/>
    <s v="None"/>
  </r>
  <r>
    <n v="68"/>
    <x v="0"/>
    <x v="6"/>
    <s v="Doctor"/>
    <x v="5"/>
    <n v="6"/>
    <n v="30"/>
    <n v="8"/>
    <x v="1"/>
    <s v="125/80"/>
    <n v="72"/>
    <x v="8"/>
    <s v="Insomnia"/>
  </r>
  <r>
    <n v="69"/>
    <x v="1"/>
    <x v="6"/>
    <s v="Scientist"/>
    <x v="1"/>
    <n v="6"/>
    <n v="50"/>
    <n v="6"/>
    <x v="0"/>
    <s v="128/85"/>
    <n v="76"/>
    <x v="10"/>
    <s v="None"/>
  </r>
  <r>
    <n v="70"/>
    <x v="1"/>
    <x v="6"/>
    <s v="Scientist"/>
    <x v="1"/>
    <n v="6"/>
    <n v="50"/>
    <n v="6"/>
    <x v="0"/>
    <s v="128/85"/>
    <n v="76"/>
    <x v="10"/>
    <s v="None"/>
  </r>
  <r>
    <n v="71"/>
    <x v="0"/>
    <x v="6"/>
    <s v="Doctor"/>
    <x v="0"/>
    <n v="6"/>
    <n v="30"/>
    <n v="8"/>
    <x v="1"/>
    <s v="125/80"/>
    <n v="72"/>
    <x v="8"/>
    <s v="None"/>
  </r>
  <r>
    <n v="72"/>
    <x v="0"/>
    <x v="6"/>
    <s v="Doctor"/>
    <x v="0"/>
    <n v="6"/>
    <n v="30"/>
    <n v="8"/>
    <x v="1"/>
    <s v="125/80"/>
    <n v="72"/>
    <x v="8"/>
    <s v="None"/>
  </r>
  <r>
    <n v="73"/>
    <x v="0"/>
    <x v="6"/>
    <s v="Doctor"/>
    <x v="0"/>
    <n v="6"/>
    <n v="30"/>
    <n v="8"/>
    <x v="1"/>
    <s v="125/80"/>
    <n v="72"/>
    <x v="8"/>
    <s v="None"/>
  </r>
  <r>
    <n v="74"/>
    <x v="0"/>
    <x v="6"/>
    <s v="Doctor"/>
    <x v="0"/>
    <n v="6"/>
    <n v="30"/>
    <n v="8"/>
    <x v="1"/>
    <s v="125/80"/>
    <n v="72"/>
    <x v="8"/>
    <s v="None"/>
  </r>
  <r>
    <n v="75"/>
    <x v="0"/>
    <x v="6"/>
    <s v="Doctor"/>
    <x v="5"/>
    <n v="6"/>
    <n v="30"/>
    <n v="8"/>
    <x v="1"/>
    <s v="125/80"/>
    <n v="72"/>
    <x v="8"/>
    <s v="None"/>
  </r>
  <r>
    <n v="76"/>
    <x v="0"/>
    <x v="6"/>
    <s v="Doctor"/>
    <x v="5"/>
    <n v="6"/>
    <n v="30"/>
    <n v="8"/>
    <x v="1"/>
    <s v="125/80"/>
    <n v="72"/>
    <x v="8"/>
    <s v="None"/>
  </r>
  <r>
    <n v="77"/>
    <x v="0"/>
    <x v="6"/>
    <s v="Doctor"/>
    <x v="5"/>
    <n v="6"/>
    <n v="30"/>
    <n v="8"/>
    <x v="1"/>
    <s v="125/80"/>
    <n v="72"/>
    <x v="8"/>
    <s v="None"/>
  </r>
  <r>
    <n v="78"/>
    <x v="0"/>
    <x v="6"/>
    <s v="Doctor"/>
    <x v="5"/>
    <n v="6"/>
    <n v="30"/>
    <n v="8"/>
    <x v="1"/>
    <s v="125/80"/>
    <n v="72"/>
    <x v="8"/>
    <s v="None"/>
  </r>
  <r>
    <n v="79"/>
    <x v="0"/>
    <x v="6"/>
    <s v="Doctor"/>
    <x v="5"/>
    <n v="6"/>
    <n v="30"/>
    <n v="8"/>
    <x v="1"/>
    <s v="125/80"/>
    <n v="72"/>
    <x v="8"/>
    <s v="None"/>
  </r>
  <r>
    <n v="80"/>
    <x v="0"/>
    <x v="6"/>
    <s v="Doctor"/>
    <x v="5"/>
    <n v="6"/>
    <n v="30"/>
    <n v="8"/>
    <x v="1"/>
    <s v="125/80"/>
    <n v="72"/>
    <x v="8"/>
    <s v="None"/>
  </r>
  <r>
    <n v="81"/>
    <x v="1"/>
    <x v="7"/>
    <s v="Scientist"/>
    <x v="13"/>
    <n v="4"/>
    <n v="32"/>
    <n v="8"/>
    <x v="0"/>
    <s v="131/86"/>
    <n v="81"/>
    <x v="11"/>
    <s v="Sleep Apnea"/>
  </r>
  <r>
    <n v="82"/>
    <x v="1"/>
    <x v="7"/>
    <s v="Scientist"/>
    <x v="13"/>
    <n v="4"/>
    <n v="32"/>
    <n v="8"/>
    <x v="0"/>
    <s v="131/86"/>
    <n v="81"/>
    <x v="11"/>
    <s v="Sleep Apnea"/>
  </r>
  <r>
    <n v="83"/>
    <x v="0"/>
    <x v="8"/>
    <s v="Teacher"/>
    <x v="14"/>
    <n v="7"/>
    <n v="40"/>
    <n v="5"/>
    <x v="0"/>
    <s v="128/84"/>
    <n v="70"/>
    <x v="12"/>
    <s v="None"/>
  </r>
  <r>
    <n v="84"/>
    <x v="0"/>
    <x v="8"/>
    <s v="Teacher"/>
    <x v="14"/>
    <n v="7"/>
    <n v="40"/>
    <n v="5"/>
    <x v="0"/>
    <s v="128/84"/>
    <n v="70"/>
    <x v="12"/>
    <s v="None"/>
  </r>
  <r>
    <n v="85"/>
    <x v="0"/>
    <x v="8"/>
    <s v="Software Engineer"/>
    <x v="11"/>
    <n v="8"/>
    <n v="60"/>
    <n v="5"/>
    <x v="3"/>
    <s v="120/80"/>
    <n v="70"/>
    <x v="4"/>
    <s v="None"/>
  </r>
  <r>
    <n v="86"/>
    <x v="1"/>
    <x v="8"/>
    <s v="Accountant"/>
    <x v="12"/>
    <n v="8"/>
    <n v="60"/>
    <n v="4"/>
    <x v="1"/>
    <s v="115/75"/>
    <n v="68"/>
    <x v="9"/>
    <s v="None"/>
  </r>
  <r>
    <n v="87"/>
    <x v="0"/>
    <x v="8"/>
    <s v="Engineer"/>
    <x v="12"/>
    <n v="8"/>
    <n v="60"/>
    <n v="4"/>
    <x v="1"/>
    <s v="125/80"/>
    <n v="65"/>
    <x v="8"/>
    <s v="None"/>
  </r>
  <r>
    <n v="88"/>
    <x v="0"/>
    <x v="8"/>
    <s v="Engineer"/>
    <x v="12"/>
    <n v="8"/>
    <n v="60"/>
    <n v="4"/>
    <x v="1"/>
    <s v="125/80"/>
    <n v="65"/>
    <x v="8"/>
    <s v="None"/>
  </r>
  <r>
    <n v="89"/>
    <x v="0"/>
    <x v="8"/>
    <s v="Engineer"/>
    <x v="15"/>
    <n v="8"/>
    <n v="60"/>
    <n v="4"/>
    <x v="1"/>
    <s v="125/80"/>
    <n v="65"/>
    <x v="8"/>
    <s v="None"/>
  </r>
  <r>
    <n v="90"/>
    <x v="0"/>
    <x v="8"/>
    <s v="Engineer"/>
    <x v="15"/>
    <n v="8"/>
    <n v="60"/>
    <n v="4"/>
    <x v="1"/>
    <s v="125/80"/>
    <n v="65"/>
    <x v="8"/>
    <s v="None"/>
  </r>
  <r>
    <n v="91"/>
    <x v="0"/>
    <x v="8"/>
    <s v="Engineer"/>
    <x v="15"/>
    <n v="8"/>
    <n v="60"/>
    <n v="4"/>
    <x v="1"/>
    <s v="125/80"/>
    <n v="65"/>
    <x v="8"/>
    <s v="None"/>
  </r>
  <r>
    <n v="92"/>
    <x v="0"/>
    <x v="8"/>
    <s v="Engineer"/>
    <x v="15"/>
    <n v="8"/>
    <n v="60"/>
    <n v="4"/>
    <x v="1"/>
    <s v="125/80"/>
    <n v="65"/>
    <x v="8"/>
    <s v="None"/>
  </r>
  <r>
    <n v="93"/>
    <x v="0"/>
    <x v="8"/>
    <s v="Software Engineer"/>
    <x v="11"/>
    <n v="8"/>
    <n v="60"/>
    <n v="5"/>
    <x v="3"/>
    <s v="120/80"/>
    <n v="70"/>
    <x v="4"/>
    <s v="None"/>
  </r>
  <r>
    <n v="94"/>
    <x v="0"/>
    <x v="8"/>
    <s v="Lawyer"/>
    <x v="16"/>
    <n v="7"/>
    <n v="60"/>
    <n v="5"/>
    <x v="2"/>
    <s v="135/88"/>
    <n v="84"/>
    <x v="13"/>
    <s v="Sleep Apnea"/>
  </r>
  <r>
    <n v="95"/>
    <x v="1"/>
    <x v="9"/>
    <s v="Accountant"/>
    <x v="12"/>
    <n v="8"/>
    <n v="60"/>
    <n v="4"/>
    <x v="1"/>
    <s v="115/75"/>
    <n v="68"/>
    <x v="9"/>
    <s v="Insomnia"/>
  </r>
  <r>
    <n v="96"/>
    <x v="1"/>
    <x v="9"/>
    <s v="Accountant"/>
    <x v="17"/>
    <n v="8"/>
    <n v="60"/>
    <n v="4"/>
    <x v="1"/>
    <s v="115/75"/>
    <n v="68"/>
    <x v="9"/>
    <s v="None"/>
  </r>
  <r>
    <n v="97"/>
    <x v="1"/>
    <x v="9"/>
    <s v="Accountant"/>
    <x v="12"/>
    <n v="8"/>
    <n v="60"/>
    <n v="4"/>
    <x v="1"/>
    <s v="115/75"/>
    <n v="68"/>
    <x v="9"/>
    <s v="None"/>
  </r>
  <r>
    <n v="98"/>
    <x v="1"/>
    <x v="9"/>
    <s v="Accountant"/>
    <x v="17"/>
    <n v="8"/>
    <n v="60"/>
    <n v="4"/>
    <x v="1"/>
    <s v="115/75"/>
    <n v="68"/>
    <x v="9"/>
    <s v="None"/>
  </r>
  <r>
    <n v="99"/>
    <x v="1"/>
    <x v="9"/>
    <s v="Teacher"/>
    <x v="17"/>
    <n v="8"/>
    <n v="60"/>
    <n v="4"/>
    <x v="1"/>
    <s v="115/75"/>
    <n v="68"/>
    <x v="9"/>
    <s v="None"/>
  </r>
  <r>
    <n v="100"/>
    <x v="1"/>
    <x v="9"/>
    <s v="Teacher"/>
    <x v="17"/>
    <n v="8"/>
    <n v="60"/>
    <n v="4"/>
    <x v="1"/>
    <s v="115/75"/>
    <n v="68"/>
    <x v="9"/>
    <s v="None"/>
  </r>
  <r>
    <n v="101"/>
    <x v="1"/>
    <x v="9"/>
    <s v="Teacher"/>
    <x v="12"/>
    <n v="8"/>
    <n v="60"/>
    <n v="4"/>
    <x v="1"/>
    <s v="115/75"/>
    <n v="68"/>
    <x v="9"/>
    <s v="None"/>
  </r>
  <r>
    <n v="102"/>
    <x v="1"/>
    <x v="9"/>
    <s v="Teacher"/>
    <x v="12"/>
    <n v="8"/>
    <n v="60"/>
    <n v="4"/>
    <x v="1"/>
    <s v="115/75"/>
    <n v="68"/>
    <x v="9"/>
    <s v="None"/>
  </r>
  <r>
    <n v="103"/>
    <x v="1"/>
    <x v="9"/>
    <s v="Teacher"/>
    <x v="12"/>
    <n v="8"/>
    <n v="60"/>
    <n v="4"/>
    <x v="1"/>
    <s v="115/75"/>
    <n v="68"/>
    <x v="9"/>
    <s v="None"/>
  </r>
  <r>
    <n v="104"/>
    <x v="0"/>
    <x v="9"/>
    <s v="Teacher"/>
    <x v="18"/>
    <n v="5"/>
    <n v="35"/>
    <n v="7"/>
    <x v="0"/>
    <s v="129/84"/>
    <n v="74"/>
    <x v="14"/>
    <s v="Sleep Apnea"/>
  </r>
  <r>
    <n v="105"/>
    <x v="1"/>
    <x v="9"/>
    <s v="Teacher"/>
    <x v="12"/>
    <n v="8"/>
    <n v="60"/>
    <n v="4"/>
    <x v="1"/>
    <s v="115/75"/>
    <n v="68"/>
    <x v="9"/>
    <s v="Sleep Apnea"/>
  </r>
  <r>
    <n v="106"/>
    <x v="0"/>
    <x v="9"/>
    <s v="Teacher"/>
    <x v="18"/>
    <n v="5"/>
    <n v="35"/>
    <n v="7"/>
    <x v="0"/>
    <s v="129/84"/>
    <n v="74"/>
    <x v="14"/>
    <s v="Insomnia"/>
  </r>
  <r>
    <n v="107"/>
    <x v="1"/>
    <x v="10"/>
    <s v="Nurse"/>
    <x v="0"/>
    <n v="6"/>
    <n v="42"/>
    <n v="6"/>
    <x v="0"/>
    <s v="126/83"/>
    <n v="77"/>
    <x v="0"/>
    <s v="None"/>
  </r>
  <r>
    <n v="108"/>
    <x v="0"/>
    <x v="10"/>
    <s v="Engineer"/>
    <x v="4"/>
    <n v="8"/>
    <n v="70"/>
    <n v="4"/>
    <x v="3"/>
    <s v="120/80"/>
    <n v="68"/>
    <x v="9"/>
    <s v="None"/>
  </r>
  <r>
    <n v="109"/>
    <x v="0"/>
    <x v="10"/>
    <s v="Engineer"/>
    <x v="4"/>
    <n v="8"/>
    <n v="70"/>
    <n v="4"/>
    <x v="3"/>
    <s v="120/80"/>
    <n v="68"/>
    <x v="9"/>
    <s v="None"/>
  </r>
  <r>
    <n v="110"/>
    <x v="0"/>
    <x v="10"/>
    <s v="Lawyer"/>
    <x v="16"/>
    <n v="8"/>
    <n v="60"/>
    <n v="5"/>
    <x v="1"/>
    <s v="130/85"/>
    <n v="68"/>
    <x v="4"/>
    <s v="None"/>
  </r>
  <r>
    <n v="111"/>
    <x v="1"/>
    <x v="10"/>
    <s v="Accountant"/>
    <x v="12"/>
    <n v="8"/>
    <n v="60"/>
    <n v="4"/>
    <x v="1"/>
    <s v="115/75"/>
    <n v="68"/>
    <x v="9"/>
    <s v="None"/>
  </r>
  <r>
    <n v="112"/>
    <x v="0"/>
    <x v="10"/>
    <s v="Lawyer"/>
    <x v="16"/>
    <n v="8"/>
    <n v="60"/>
    <n v="5"/>
    <x v="1"/>
    <s v="130/85"/>
    <n v="68"/>
    <x v="4"/>
    <s v="None"/>
  </r>
  <r>
    <n v="113"/>
    <x v="1"/>
    <x v="10"/>
    <s v="Accountant"/>
    <x v="12"/>
    <n v="8"/>
    <n v="60"/>
    <n v="4"/>
    <x v="1"/>
    <s v="115/75"/>
    <n v="68"/>
    <x v="9"/>
    <s v="None"/>
  </r>
  <r>
    <n v="114"/>
    <x v="0"/>
    <x v="10"/>
    <s v="Lawyer"/>
    <x v="16"/>
    <n v="8"/>
    <n v="60"/>
    <n v="5"/>
    <x v="1"/>
    <s v="130/85"/>
    <n v="68"/>
    <x v="4"/>
    <s v="None"/>
  </r>
  <r>
    <n v="115"/>
    <x v="1"/>
    <x v="10"/>
    <s v="Accountant"/>
    <x v="12"/>
    <n v="8"/>
    <n v="60"/>
    <n v="4"/>
    <x v="1"/>
    <s v="115/75"/>
    <n v="68"/>
    <x v="9"/>
    <s v="None"/>
  </r>
  <r>
    <n v="116"/>
    <x v="1"/>
    <x v="10"/>
    <s v="Accountant"/>
    <x v="12"/>
    <n v="8"/>
    <n v="60"/>
    <n v="4"/>
    <x v="1"/>
    <s v="115/75"/>
    <n v="68"/>
    <x v="9"/>
    <s v="None"/>
  </r>
  <r>
    <n v="117"/>
    <x v="1"/>
    <x v="10"/>
    <s v="Accountant"/>
    <x v="12"/>
    <n v="8"/>
    <n v="60"/>
    <n v="4"/>
    <x v="1"/>
    <s v="115/75"/>
    <n v="68"/>
    <x v="9"/>
    <s v="None"/>
  </r>
  <r>
    <n v="118"/>
    <x v="1"/>
    <x v="10"/>
    <s v="Accountant"/>
    <x v="12"/>
    <n v="8"/>
    <n v="60"/>
    <n v="4"/>
    <x v="1"/>
    <s v="115/75"/>
    <n v="68"/>
    <x v="9"/>
    <s v="None"/>
  </r>
  <r>
    <n v="119"/>
    <x v="1"/>
    <x v="10"/>
    <s v="Accountant"/>
    <x v="12"/>
    <n v="8"/>
    <n v="60"/>
    <n v="4"/>
    <x v="1"/>
    <s v="115/75"/>
    <n v="68"/>
    <x v="9"/>
    <s v="None"/>
  </r>
  <r>
    <n v="120"/>
    <x v="1"/>
    <x v="10"/>
    <s v="Accountant"/>
    <x v="12"/>
    <n v="8"/>
    <n v="60"/>
    <n v="4"/>
    <x v="1"/>
    <s v="115/75"/>
    <n v="68"/>
    <x v="9"/>
    <s v="None"/>
  </r>
  <r>
    <n v="121"/>
    <x v="1"/>
    <x v="10"/>
    <s v="Accountant"/>
    <x v="12"/>
    <n v="8"/>
    <n v="60"/>
    <n v="4"/>
    <x v="1"/>
    <s v="115/75"/>
    <n v="68"/>
    <x v="9"/>
    <s v="None"/>
  </r>
  <r>
    <n v="122"/>
    <x v="1"/>
    <x v="10"/>
    <s v="Accountant"/>
    <x v="12"/>
    <n v="8"/>
    <n v="60"/>
    <n v="4"/>
    <x v="1"/>
    <s v="115/75"/>
    <n v="68"/>
    <x v="9"/>
    <s v="None"/>
  </r>
  <r>
    <n v="123"/>
    <x v="1"/>
    <x v="10"/>
    <s v="Accountant"/>
    <x v="12"/>
    <n v="8"/>
    <n v="60"/>
    <n v="4"/>
    <x v="1"/>
    <s v="115/75"/>
    <n v="68"/>
    <x v="9"/>
    <s v="None"/>
  </r>
  <r>
    <n v="124"/>
    <x v="1"/>
    <x v="10"/>
    <s v="Accountant"/>
    <x v="12"/>
    <n v="8"/>
    <n v="60"/>
    <n v="4"/>
    <x v="1"/>
    <s v="115/75"/>
    <n v="68"/>
    <x v="9"/>
    <s v="None"/>
  </r>
  <r>
    <n v="125"/>
    <x v="1"/>
    <x v="10"/>
    <s v="Accountant"/>
    <x v="12"/>
    <n v="8"/>
    <n v="60"/>
    <n v="4"/>
    <x v="1"/>
    <s v="115/75"/>
    <n v="68"/>
    <x v="9"/>
    <s v="None"/>
  </r>
  <r>
    <n v="126"/>
    <x v="1"/>
    <x v="10"/>
    <s v="Nurse"/>
    <x v="11"/>
    <n v="8"/>
    <n v="60"/>
    <n v="4"/>
    <x v="3"/>
    <s v="120/80"/>
    <n v="70"/>
    <x v="4"/>
    <s v="None"/>
  </r>
  <r>
    <n v="127"/>
    <x v="0"/>
    <x v="11"/>
    <s v="Lawyer"/>
    <x v="15"/>
    <n v="8"/>
    <n v="60"/>
    <n v="5"/>
    <x v="1"/>
    <s v="130/85"/>
    <n v="68"/>
    <x v="4"/>
    <s v="None"/>
  </r>
  <r>
    <n v="128"/>
    <x v="1"/>
    <x v="11"/>
    <s v="Accountant"/>
    <x v="17"/>
    <n v="8"/>
    <n v="60"/>
    <n v="4"/>
    <x v="1"/>
    <s v="115/75"/>
    <n v="68"/>
    <x v="9"/>
    <s v="None"/>
  </r>
  <r>
    <n v="129"/>
    <x v="0"/>
    <x v="11"/>
    <s v="Lawyer"/>
    <x v="15"/>
    <n v="8"/>
    <n v="60"/>
    <n v="5"/>
    <x v="1"/>
    <s v="130/85"/>
    <n v="68"/>
    <x v="4"/>
    <s v="None"/>
  </r>
  <r>
    <n v="130"/>
    <x v="0"/>
    <x v="11"/>
    <s v="Lawyer"/>
    <x v="15"/>
    <n v="8"/>
    <n v="60"/>
    <n v="5"/>
    <x v="1"/>
    <s v="130/85"/>
    <n v="68"/>
    <x v="4"/>
    <s v="None"/>
  </r>
  <r>
    <n v="131"/>
    <x v="1"/>
    <x v="11"/>
    <s v="Accountant"/>
    <x v="17"/>
    <n v="8"/>
    <n v="60"/>
    <n v="4"/>
    <x v="1"/>
    <s v="115/75"/>
    <n v="68"/>
    <x v="9"/>
    <s v="None"/>
  </r>
  <r>
    <n v="132"/>
    <x v="0"/>
    <x v="11"/>
    <s v="Lawyer"/>
    <x v="15"/>
    <n v="8"/>
    <n v="60"/>
    <n v="5"/>
    <x v="1"/>
    <s v="130/85"/>
    <n v="68"/>
    <x v="4"/>
    <s v="None"/>
  </r>
  <r>
    <n v="133"/>
    <x v="0"/>
    <x v="11"/>
    <s v="Lawyer"/>
    <x v="15"/>
    <n v="8"/>
    <n v="60"/>
    <n v="5"/>
    <x v="1"/>
    <s v="130/85"/>
    <n v="68"/>
    <x v="4"/>
    <s v="None"/>
  </r>
  <r>
    <n v="134"/>
    <x v="1"/>
    <x v="11"/>
    <s v="Accountant"/>
    <x v="17"/>
    <n v="8"/>
    <n v="60"/>
    <n v="4"/>
    <x v="1"/>
    <s v="115/75"/>
    <n v="68"/>
    <x v="9"/>
    <s v="None"/>
  </r>
  <r>
    <n v="135"/>
    <x v="0"/>
    <x v="11"/>
    <s v="Lawyer"/>
    <x v="15"/>
    <n v="8"/>
    <n v="60"/>
    <n v="5"/>
    <x v="1"/>
    <s v="130/85"/>
    <n v="68"/>
    <x v="4"/>
    <s v="None"/>
  </r>
  <r>
    <n v="136"/>
    <x v="0"/>
    <x v="11"/>
    <s v="Lawyer"/>
    <x v="15"/>
    <n v="8"/>
    <n v="60"/>
    <n v="5"/>
    <x v="1"/>
    <s v="130/85"/>
    <n v="68"/>
    <x v="4"/>
    <s v="None"/>
  </r>
  <r>
    <n v="137"/>
    <x v="1"/>
    <x v="11"/>
    <s v="Accountant"/>
    <x v="17"/>
    <n v="8"/>
    <n v="60"/>
    <n v="4"/>
    <x v="1"/>
    <s v="115/75"/>
    <n v="68"/>
    <x v="9"/>
    <s v="None"/>
  </r>
  <r>
    <n v="138"/>
    <x v="0"/>
    <x v="11"/>
    <s v="Lawyer"/>
    <x v="17"/>
    <n v="8"/>
    <n v="60"/>
    <n v="5"/>
    <x v="1"/>
    <s v="130/85"/>
    <n v="68"/>
    <x v="4"/>
    <s v="None"/>
  </r>
  <r>
    <n v="139"/>
    <x v="1"/>
    <x v="11"/>
    <s v="Accountant"/>
    <x v="17"/>
    <n v="8"/>
    <n v="60"/>
    <n v="4"/>
    <x v="1"/>
    <s v="115/75"/>
    <n v="68"/>
    <x v="9"/>
    <s v="None"/>
  </r>
  <r>
    <n v="140"/>
    <x v="0"/>
    <x v="11"/>
    <s v="Lawyer"/>
    <x v="17"/>
    <n v="8"/>
    <n v="60"/>
    <n v="5"/>
    <x v="1"/>
    <s v="130/85"/>
    <n v="68"/>
    <x v="4"/>
    <s v="None"/>
  </r>
  <r>
    <n v="141"/>
    <x v="1"/>
    <x v="11"/>
    <s v="Accountant"/>
    <x v="17"/>
    <n v="8"/>
    <n v="60"/>
    <n v="4"/>
    <x v="1"/>
    <s v="115/75"/>
    <n v="68"/>
    <x v="9"/>
    <s v="None"/>
  </r>
  <r>
    <n v="142"/>
    <x v="0"/>
    <x v="11"/>
    <s v="Lawyer"/>
    <x v="17"/>
    <n v="8"/>
    <n v="60"/>
    <n v="5"/>
    <x v="1"/>
    <s v="130/85"/>
    <n v="68"/>
    <x v="4"/>
    <s v="None"/>
  </r>
  <r>
    <n v="143"/>
    <x v="1"/>
    <x v="11"/>
    <s v="Accountant"/>
    <x v="17"/>
    <n v="8"/>
    <n v="60"/>
    <n v="4"/>
    <x v="1"/>
    <s v="115/75"/>
    <n v="68"/>
    <x v="9"/>
    <s v="None"/>
  </r>
  <r>
    <n v="144"/>
    <x v="1"/>
    <x v="11"/>
    <s v="Accountant"/>
    <x v="17"/>
    <n v="8"/>
    <n v="60"/>
    <n v="4"/>
    <x v="1"/>
    <s v="115/75"/>
    <n v="68"/>
    <x v="9"/>
    <s v="None"/>
  </r>
  <r>
    <n v="145"/>
    <x v="0"/>
    <x v="11"/>
    <s v="Lawyer"/>
    <x v="17"/>
    <n v="8"/>
    <n v="60"/>
    <n v="5"/>
    <x v="1"/>
    <s v="130/85"/>
    <n v="68"/>
    <x v="4"/>
    <s v="Sleep Apnea"/>
  </r>
  <r>
    <n v="146"/>
    <x v="1"/>
    <x v="11"/>
    <s v="Lawyer"/>
    <x v="16"/>
    <n v="7"/>
    <n v="60"/>
    <n v="5"/>
    <x v="2"/>
    <s v="135/88"/>
    <n v="84"/>
    <x v="13"/>
    <s v="Sleep Apnea"/>
  </r>
  <r>
    <n v="147"/>
    <x v="0"/>
    <x v="12"/>
    <s v="Lawyer"/>
    <x v="12"/>
    <n v="8"/>
    <n v="60"/>
    <n v="5"/>
    <x v="1"/>
    <s v="130/85"/>
    <n v="68"/>
    <x v="4"/>
    <s v="Insomnia"/>
  </r>
  <r>
    <n v="148"/>
    <x v="0"/>
    <x v="12"/>
    <s v="Engineer"/>
    <x v="6"/>
    <n v="5"/>
    <n v="40"/>
    <n v="7"/>
    <x v="0"/>
    <s v="132/87"/>
    <n v="80"/>
    <x v="5"/>
    <s v="Insomnia"/>
  </r>
  <r>
    <n v="149"/>
    <x v="1"/>
    <x v="12"/>
    <s v="Lawyer"/>
    <x v="19"/>
    <n v="7"/>
    <n v="50"/>
    <n v="6"/>
    <x v="3"/>
    <s v="128/85"/>
    <n v="75"/>
    <x v="10"/>
    <s v="None"/>
  </r>
  <r>
    <n v="150"/>
    <x v="1"/>
    <x v="12"/>
    <s v="Accountant"/>
    <x v="20"/>
    <n v="9"/>
    <n v="80"/>
    <n v="3"/>
    <x v="3"/>
    <s v="115/78"/>
    <n v="67"/>
    <x v="15"/>
    <s v="None"/>
  </r>
  <r>
    <n v="151"/>
    <x v="1"/>
    <x v="12"/>
    <s v="Accountant"/>
    <x v="20"/>
    <n v="9"/>
    <n v="80"/>
    <n v="3"/>
    <x v="3"/>
    <s v="115/78"/>
    <n v="67"/>
    <x v="15"/>
    <s v="None"/>
  </r>
  <r>
    <n v="152"/>
    <x v="0"/>
    <x v="12"/>
    <s v="Lawyer"/>
    <x v="12"/>
    <n v="8"/>
    <n v="60"/>
    <n v="5"/>
    <x v="1"/>
    <s v="130/85"/>
    <n v="68"/>
    <x v="4"/>
    <s v="None"/>
  </r>
  <r>
    <n v="153"/>
    <x v="0"/>
    <x v="12"/>
    <s v="Lawyer"/>
    <x v="12"/>
    <n v="8"/>
    <n v="60"/>
    <n v="5"/>
    <x v="1"/>
    <s v="130/85"/>
    <n v="68"/>
    <x v="4"/>
    <s v="None"/>
  </r>
  <r>
    <n v="154"/>
    <x v="0"/>
    <x v="12"/>
    <s v="Lawyer"/>
    <x v="12"/>
    <n v="8"/>
    <n v="60"/>
    <n v="5"/>
    <x v="1"/>
    <s v="130/85"/>
    <n v="68"/>
    <x v="4"/>
    <s v="None"/>
  </r>
  <r>
    <n v="155"/>
    <x v="0"/>
    <x v="12"/>
    <s v="Lawyer"/>
    <x v="12"/>
    <n v="8"/>
    <n v="60"/>
    <n v="5"/>
    <x v="1"/>
    <s v="130/85"/>
    <n v="68"/>
    <x v="4"/>
    <s v="None"/>
  </r>
  <r>
    <n v="156"/>
    <x v="0"/>
    <x v="12"/>
    <s v="Lawyer"/>
    <x v="12"/>
    <n v="8"/>
    <n v="60"/>
    <n v="5"/>
    <x v="1"/>
    <s v="130/85"/>
    <n v="68"/>
    <x v="4"/>
    <s v="None"/>
  </r>
  <r>
    <n v="157"/>
    <x v="0"/>
    <x v="12"/>
    <s v="Lawyer"/>
    <x v="12"/>
    <n v="8"/>
    <n v="60"/>
    <n v="5"/>
    <x v="1"/>
    <s v="130/85"/>
    <n v="68"/>
    <x v="4"/>
    <s v="None"/>
  </r>
  <r>
    <n v="158"/>
    <x v="0"/>
    <x v="12"/>
    <s v="Lawyer"/>
    <x v="12"/>
    <n v="8"/>
    <n v="60"/>
    <n v="5"/>
    <x v="1"/>
    <s v="130/85"/>
    <n v="68"/>
    <x v="4"/>
    <s v="None"/>
  </r>
  <r>
    <n v="159"/>
    <x v="0"/>
    <x v="12"/>
    <s v="Lawyer"/>
    <x v="12"/>
    <n v="8"/>
    <n v="60"/>
    <n v="5"/>
    <x v="1"/>
    <s v="130/85"/>
    <n v="68"/>
    <x v="4"/>
    <s v="None"/>
  </r>
  <r>
    <n v="160"/>
    <x v="0"/>
    <x v="12"/>
    <s v="Lawyer"/>
    <x v="12"/>
    <n v="8"/>
    <n v="60"/>
    <n v="5"/>
    <x v="1"/>
    <s v="130/85"/>
    <n v="68"/>
    <x v="4"/>
    <s v="None"/>
  </r>
  <r>
    <n v="161"/>
    <x v="0"/>
    <x v="12"/>
    <s v="Lawyer"/>
    <x v="12"/>
    <n v="8"/>
    <n v="60"/>
    <n v="5"/>
    <x v="1"/>
    <s v="130/85"/>
    <n v="68"/>
    <x v="4"/>
    <s v="None"/>
  </r>
  <r>
    <n v="162"/>
    <x v="1"/>
    <x v="13"/>
    <s v="Accountant"/>
    <x v="12"/>
    <n v="8"/>
    <n v="55"/>
    <n v="6"/>
    <x v="3"/>
    <s v="119/77"/>
    <n v="73"/>
    <x v="16"/>
    <s v="None"/>
  </r>
  <r>
    <n v="163"/>
    <x v="1"/>
    <x v="13"/>
    <s v="Accountant"/>
    <x v="12"/>
    <n v="8"/>
    <n v="55"/>
    <n v="6"/>
    <x v="3"/>
    <s v="119/77"/>
    <n v="73"/>
    <x v="16"/>
    <s v="None"/>
  </r>
  <r>
    <n v="164"/>
    <x v="0"/>
    <x v="13"/>
    <s v="Lawyer"/>
    <x v="9"/>
    <n v="8"/>
    <n v="90"/>
    <n v="5"/>
    <x v="1"/>
    <s v="130/85"/>
    <n v="68"/>
    <x v="4"/>
    <s v="None"/>
  </r>
  <r>
    <n v="165"/>
    <x v="0"/>
    <x v="13"/>
    <s v="Lawyer"/>
    <x v="9"/>
    <n v="8"/>
    <n v="90"/>
    <n v="5"/>
    <x v="1"/>
    <s v="130/85"/>
    <n v="68"/>
    <x v="4"/>
    <s v="None"/>
  </r>
  <r>
    <n v="166"/>
    <x v="0"/>
    <x v="14"/>
    <s v="Lawyer"/>
    <x v="7"/>
    <n v="8"/>
    <n v="90"/>
    <n v="5"/>
    <x v="1"/>
    <s v="130/85"/>
    <n v="70"/>
    <x v="4"/>
    <s v="Insomnia"/>
  </r>
  <r>
    <n v="167"/>
    <x v="0"/>
    <x v="14"/>
    <s v="Engineer"/>
    <x v="15"/>
    <n v="8"/>
    <n v="70"/>
    <n v="6"/>
    <x v="3"/>
    <s v="121/79"/>
    <n v="72"/>
    <x v="17"/>
    <s v="None"/>
  </r>
  <r>
    <n v="168"/>
    <x v="0"/>
    <x v="14"/>
    <s v="Lawyer"/>
    <x v="17"/>
    <n v="7"/>
    <n v="55"/>
    <n v="6"/>
    <x v="0"/>
    <s v="125/82"/>
    <n v="72"/>
    <x v="18"/>
    <s v="None"/>
  </r>
  <r>
    <n v="169"/>
    <x v="0"/>
    <x v="14"/>
    <s v="Lawyer"/>
    <x v="17"/>
    <n v="7"/>
    <n v="55"/>
    <n v="6"/>
    <x v="0"/>
    <s v="125/82"/>
    <n v="72"/>
    <x v="18"/>
    <s v="None"/>
  </r>
  <r>
    <n v="170"/>
    <x v="0"/>
    <x v="14"/>
    <s v="Lawyer"/>
    <x v="8"/>
    <n v="8"/>
    <n v="90"/>
    <n v="5"/>
    <x v="1"/>
    <s v="130/85"/>
    <n v="70"/>
    <x v="4"/>
    <s v="None"/>
  </r>
  <r>
    <n v="171"/>
    <x v="0"/>
    <x v="14"/>
    <s v="Lawyer"/>
    <x v="8"/>
    <n v="8"/>
    <n v="90"/>
    <n v="5"/>
    <x v="1"/>
    <s v="130/85"/>
    <n v="70"/>
    <x v="4"/>
    <s v="None"/>
  </r>
  <r>
    <n v="172"/>
    <x v="0"/>
    <x v="14"/>
    <s v="Lawyer"/>
    <x v="8"/>
    <n v="8"/>
    <n v="90"/>
    <n v="5"/>
    <x v="1"/>
    <s v="130/85"/>
    <n v="70"/>
    <x v="4"/>
    <s v="None"/>
  </r>
  <r>
    <n v="173"/>
    <x v="0"/>
    <x v="14"/>
    <s v="Lawyer"/>
    <x v="8"/>
    <n v="8"/>
    <n v="90"/>
    <n v="5"/>
    <x v="1"/>
    <s v="130/85"/>
    <n v="70"/>
    <x v="4"/>
    <s v="None"/>
  </r>
  <r>
    <n v="174"/>
    <x v="0"/>
    <x v="14"/>
    <s v="Lawyer"/>
    <x v="8"/>
    <n v="8"/>
    <n v="90"/>
    <n v="5"/>
    <x v="1"/>
    <s v="130/85"/>
    <n v="70"/>
    <x v="4"/>
    <s v="None"/>
  </r>
  <r>
    <n v="175"/>
    <x v="0"/>
    <x v="14"/>
    <s v="Lawyer"/>
    <x v="7"/>
    <n v="8"/>
    <n v="90"/>
    <n v="5"/>
    <x v="1"/>
    <s v="130/85"/>
    <n v="70"/>
    <x v="4"/>
    <s v="None"/>
  </r>
  <r>
    <n v="176"/>
    <x v="0"/>
    <x v="14"/>
    <s v="Lawyer"/>
    <x v="7"/>
    <n v="8"/>
    <n v="90"/>
    <n v="5"/>
    <x v="1"/>
    <s v="130/85"/>
    <n v="70"/>
    <x v="4"/>
    <s v="None"/>
  </r>
  <r>
    <n v="177"/>
    <x v="0"/>
    <x v="14"/>
    <s v="Lawyer"/>
    <x v="7"/>
    <n v="8"/>
    <n v="90"/>
    <n v="5"/>
    <x v="1"/>
    <s v="130/85"/>
    <n v="70"/>
    <x v="4"/>
    <s v="None"/>
  </r>
  <r>
    <n v="178"/>
    <x v="0"/>
    <x v="15"/>
    <s v="Salesperson"/>
    <x v="6"/>
    <n v="6"/>
    <n v="45"/>
    <n v="7"/>
    <x v="0"/>
    <s v="130/85"/>
    <n v="72"/>
    <x v="18"/>
    <s v="Insomnia"/>
  </r>
  <r>
    <n v="179"/>
    <x v="0"/>
    <x v="15"/>
    <s v="Lawyer"/>
    <x v="4"/>
    <n v="8"/>
    <n v="90"/>
    <n v="5"/>
    <x v="1"/>
    <s v="130/85"/>
    <n v="70"/>
    <x v="4"/>
    <s v="None"/>
  </r>
  <r>
    <n v="180"/>
    <x v="0"/>
    <x v="15"/>
    <s v="Lawyer"/>
    <x v="4"/>
    <n v="8"/>
    <n v="90"/>
    <n v="5"/>
    <x v="1"/>
    <s v="130/85"/>
    <n v="70"/>
    <x v="4"/>
    <s v="None"/>
  </r>
  <r>
    <n v="181"/>
    <x v="0"/>
    <x v="15"/>
    <s v="Lawyer"/>
    <x v="4"/>
    <n v="8"/>
    <n v="90"/>
    <n v="5"/>
    <x v="1"/>
    <s v="130/85"/>
    <n v="70"/>
    <x v="4"/>
    <s v="None"/>
  </r>
  <r>
    <n v="182"/>
    <x v="0"/>
    <x v="15"/>
    <s v="Lawyer"/>
    <x v="4"/>
    <n v="8"/>
    <n v="90"/>
    <n v="5"/>
    <x v="1"/>
    <s v="130/85"/>
    <n v="70"/>
    <x v="4"/>
    <s v="None"/>
  </r>
  <r>
    <n v="183"/>
    <x v="0"/>
    <x v="15"/>
    <s v="Lawyer"/>
    <x v="4"/>
    <n v="8"/>
    <n v="90"/>
    <n v="5"/>
    <x v="1"/>
    <s v="130/85"/>
    <n v="70"/>
    <x v="4"/>
    <s v="None"/>
  </r>
  <r>
    <n v="184"/>
    <x v="0"/>
    <x v="15"/>
    <s v="Lawyer"/>
    <x v="4"/>
    <n v="8"/>
    <n v="90"/>
    <n v="5"/>
    <x v="1"/>
    <s v="130/85"/>
    <n v="70"/>
    <x v="4"/>
    <s v="None"/>
  </r>
  <r>
    <n v="185"/>
    <x v="1"/>
    <x v="15"/>
    <s v="Teacher"/>
    <x v="21"/>
    <n v="6"/>
    <n v="45"/>
    <n v="7"/>
    <x v="0"/>
    <s v="130/85"/>
    <n v="78"/>
    <x v="8"/>
    <s v="Sleep Apnea"/>
  </r>
  <r>
    <n v="186"/>
    <x v="1"/>
    <x v="15"/>
    <s v="Teacher"/>
    <x v="21"/>
    <n v="6"/>
    <n v="45"/>
    <n v="7"/>
    <x v="0"/>
    <s v="130/85"/>
    <n v="78"/>
    <x v="8"/>
    <s v="Sleep Apnea"/>
  </r>
  <r>
    <n v="187"/>
    <x v="1"/>
    <x v="16"/>
    <s v="Teacher"/>
    <x v="14"/>
    <n v="7"/>
    <n v="45"/>
    <n v="4"/>
    <x v="0"/>
    <s v="135/90"/>
    <n v="65"/>
    <x v="18"/>
    <s v="Insomnia"/>
  </r>
  <r>
    <n v="188"/>
    <x v="0"/>
    <x v="16"/>
    <s v="Salesperson"/>
    <x v="3"/>
    <n v="6"/>
    <n v="45"/>
    <n v="7"/>
    <x v="0"/>
    <s v="130/85"/>
    <n v="72"/>
    <x v="18"/>
    <s v="Insomnia"/>
  </r>
  <r>
    <n v="189"/>
    <x v="1"/>
    <x v="16"/>
    <s v="Teacher"/>
    <x v="14"/>
    <n v="7"/>
    <n v="45"/>
    <n v="4"/>
    <x v="0"/>
    <s v="135/90"/>
    <n v="65"/>
    <x v="18"/>
    <s v="Insomnia"/>
  </r>
  <r>
    <n v="190"/>
    <x v="0"/>
    <x v="16"/>
    <s v="Salesperson"/>
    <x v="6"/>
    <n v="6"/>
    <n v="45"/>
    <n v="7"/>
    <x v="0"/>
    <s v="130/85"/>
    <n v="72"/>
    <x v="18"/>
    <s v="Insomnia"/>
  </r>
  <r>
    <n v="191"/>
    <x v="1"/>
    <x v="16"/>
    <s v="Teacher"/>
    <x v="14"/>
    <n v="7"/>
    <n v="45"/>
    <n v="4"/>
    <x v="0"/>
    <s v="135/90"/>
    <n v="65"/>
    <x v="18"/>
    <s v="Insomnia"/>
  </r>
  <r>
    <n v="192"/>
    <x v="0"/>
    <x v="16"/>
    <s v="Salesperson"/>
    <x v="10"/>
    <n v="6"/>
    <n v="45"/>
    <n v="7"/>
    <x v="0"/>
    <s v="130/85"/>
    <n v="72"/>
    <x v="18"/>
    <s v="Insomnia"/>
  </r>
  <r>
    <n v="193"/>
    <x v="0"/>
    <x v="16"/>
    <s v="Salesperson"/>
    <x v="6"/>
    <n v="6"/>
    <n v="45"/>
    <n v="7"/>
    <x v="0"/>
    <s v="130/85"/>
    <n v="72"/>
    <x v="18"/>
    <s v="Insomnia"/>
  </r>
  <r>
    <n v="194"/>
    <x v="0"/>
    <x v="16"/>
    <s v="Salesperson"/>
    <x v="6"/>
    <n v="6"/>
    <n v="45"/>
    <n v="7"/>
    <x v="0"/>
    <s v="130/85"/>
    <n v="72"/>
    <x v="18"/>
    <s v="Insomnia"/>
  </r>
  <r>
    <n v="195"/>
    <x v="0"/>
    <x v="16"/>
    <s v="Salesperson"/>
    <x v="6"/>
    <n v="6"/>
    <n v="45"/>
    <n v="7"/>
    <x v="0"/>
    <s v="130/85"/>
    <n v="72"/>
    <x v="18"/>
    <s v="Insomnia"/>
  </r>
  <r>
    <n v="196"/>
    <x v="0"/>
    <x v="16"/>
    <s v="Salesperson"/>
    <x v="6"/>
    <n v="6"/>
    <n v="45"/>
    <n v="7"/>
    <x v="0"/>
    <s v="130/85"/>
    <n v="72"/>
    <x v="18"/>
    <s v="Insomnia"/>
  </r>
  <r>
    <n v="197"/>
    <x v="0"/>
    <x v="16"/>
    <s v="Salesperson"/>
    <x v="6"/>
    <n v="6"/>
    <n v="45"/>
    <n v="7"/>
    <x v="0"/>
    <s v="130/85"/>
    <n v="72"/>
    <x v="18"/>
    <s v="Insomnia"/>
  </r>
  <r>
    <n v="198"/>
    <x v="0"/>
    <x v="16"/>
    <s v="Salesperson"/>
    <x v="6"/>
    <n v="6"/>
    <n v="45"/>
    <n v="7"/>
    <x v="0"/>
    <s v="130/85"/>
    <n v="72"/>
    <x v="18"/>
    <s v="Insomnia"/>
  </r>
  <r>
    <n v="199"/>
    <x v="0"/>
    <x v="16"/>
    <s v="Salesperson"/>
    <x v="6"/>
    <n v="6"/>
    <n v="45"/>
    <n v="7"/>
    <x v="0"/>
    <s v="130/85"/>
    <n v="72"/>
    <x v="18"/>
    <s v="Insomnia"/>
  </r>
  <r>
    <n v="200"/>
    <x v="0"/>
    <x v="16"/>
    <s v="Salesperson"/>
    <x v="6"/>
    <n v="6"/>
    <n v="45"/>
    <n v="7"/>
    <x v="0"/>
    <s v="130/85"/>
    <n v="72"/>
    <x v="18"/>
    <s v="Insomnia"/>
  </r>
  <r>
    <n v="201"/>
    <x v="0"/>
    <x v="16"/>
    <s v="Salesperson"/>
    <x v="6"/>
    <n v="6"/>
    <n v="45"/>
    <n v="7"/>
    <x v="0"/>
    <s v="130/85"/>
    <n v="72"/>
    <x v="18"/>
    <s v="Insomnia"/>
  </r>
  <r>
    <n v="202"/>
    <x v="0"/>
    <x v="16"/>
    <s v="Engineer"/>
    <x v="4"/>
    <n v="8"/>
    <n v="90"/>
    <n v="5"/>
    <x v="1"/>
    <s v="130/85"/>
    <n v="70"/>
    <x v="4"/>
    <s v="Insomnia"/>
  </r>
  <r>
    <n v="203"/>
    <x v="0"/>
    <x v="16"/>
    <s v="Engineer"/>
    <x v="4"/>
    <n v="8"/>
    <n v="90"/>
    <n v="5"/>
    <x v="1"/>
    <s v="130/85"/>
    <n v="70"/>
    <x v="4"/>
    <s v="Insomnia"/>
  </r>
  <r>
    <n v="204"/>
    <x v="0"/>
    <x v="16"/>
    <s v="Engineer"/>
    <x v="19"/>
    <n v="6"/>
    <n v="47"/>
    <n v="7"/>
    <x v="3"/>
    <s v="117/76"/>
    <n v="69"/>
    <x v="7"/>
    <s v="None"/>
  </r>
  <r>
    <n v="205"/>
    <x v="0"/>
    <x v="16"/>
    <s v="Engineer"/>
    <x v="7"/>
    <n v="8"/>
    <n v="75"/>
    <n v="4"/>
    <x v="0"/>
    <s v="122/80"/>
    <n v="68"/>
    <x v="7"/>
    <s v="None"/>
  </r>
  <r>
    <n v="206"/>
    <x v="0"/>
    <x v="16"/>
    <s v="Engineer"/>
    <x v="8"/>
    <n v="8"/>
    <n v="90"/>
    <n v="5"/>
    <x v="1"/>
    <s v="130/85"/>
    <n v="70"/>
    <x v="4"/>
    <s v="None"/>
  </r>
  <r>
    <n v="207"/>
    <x v="0"/>
    <x v="16"/>
    <s v="Engineer"/>
    <x v="8"/>
    <n v="8"/>
    <n v="90"/>
    <n v="5"/>
    <x v="1"/>
    <s v="130/85"/>
    <n v="70"/>
    <x v="4"/>
    <s v="None"/>
  </r>
  <r>
    <n v="208"/>
    <x v="0"/>
    <x v="16"/>
    <s v="Engineer"/>
    <x v="8"/>
    <n v="8"/>
    <n v="90"/>
    <n v="5"/>
    <x v="1"/>
    <s v="130/85"/>
    <n v="70"/>
    <x v="4"/>
    <s v="None"/>
  </r>
  <r>
    <n v="209"/>
    <x v="0"/>
    <x v="16"/>
    <s v="Engineer"/>
    <x v="8"/>
    <n v="8"/>
    <n v="90"/>
    <n v="5"/>
    <x v="1"/>
    <s v="130/85"/>
    <n v="70"/>
    <x v="4"/>
    <s v="None"/>
  </r>
  <r>
    <n v="210"/>
    <x v="0"/>
    <x v="16"/>
    <s v="Engineer"/>
    <x v="4"/>
    <n v="8"/>
    <n v="90"/>
    <n v="5"/>
    <x v="1"/>
    <s v="130/85"/>
    <n v="70"/>
    <x v="4"/>
    <s v="None"/>
  </r>
  <r>
    <n v="211"/>
    <x v="0"/>
    <x v="16"/>
    <s v="Engineer"/>
    <x v="8"/>
    <n v="8"/>
    <n v="90"/>
    <n v="5"/>
    <x v="1"/>
    <s v="130/85"/>
    <n v="70"/>
    <x v="4"/>
    <s v="None"/>
  </r>
  <r>
    <n v="212"/>
    <x v="0"/>
    <x v="16"/>
    <s v="Engineer"/>
    <x v="4"/>
    <n v="8"/>
    <n v="90"/>
    <n v="5"/>
    <x v="1"/>
    <s v="130/85"/>
    <n v="70"/>
    <x v="4"/>
    <s v="None"/>
  </r>
  <r>
    <n v="213"/>
    <x v="0"/>
    <x v="16"/>
    <s v="Engineer"/>
    <x v="4"/>
    <n v="8"/>
    <n v="90"/>
    <n v="5"/>
    <x v="1"/>
    <s v="130/85"/>
    <n v="70"/>
    <x v="4"/>
    <s v="None"/>
  </r>
  <r>
    <n v="214"/>
    <x v="0"/>
    <x v="16"/>
    <s v="Engineer"/>
    <x v="4"/>
    <n v="8"/>
    <n v="90"/>
    <n v="5"/>
    <x v="1"/>
    <s v="130/85"/>
    <n v="70"/>
    <x v="4"/>
    <s v="None"/>
  </r>
  <r>
    <n v="215"/>
    <x v="0"/>
    <x v="16"/>
    <s v="Engineer"/>
    <x v="4"/>
    <n v="8"/>
    <n v="90"/>
    <n v="5"/>
    <x v="1"/>
    <s v="130/85"/>
    <n v="70"/>
    <x v="4"/>
    <s v="None"/>
  </r>
  <r>
    <n v="216"/>
    <x v="0"/>
    <x v="16"/>
    <s v="Engineer"/>
    <x v="4"/>
    <n v="8"/>
    <n v="90"/>
    <n v="5"/>
    <x v="1"/>
    <s v="130/85"/>
    <n v="70"/>
    <x v="4"/>
    <s v="None"/>
  </r>
  <r>
    <n v="217"/>
    <x v="0"/>
    <x v="16"/>
    <s v="Engineer"/>
    <x v="4"/>
    <n v="8"/>
    <n v="90"/>
    <n v="5"/>
    <x v="1"/>
    <s v="130/85"/>
    <n v="70"/>
    <x v="4"/>
    <s v="None"/>
  </r>
  <r>
    <n v="218"/>
    <x v="0"/>
    <x v="16"/>
    <s v="Engineer"/>
    <x v="4"/>
    <n v="8"/>
    <n v="90"/>
    <n v="5"/>
    <x v="1"/>
    <s v="130/85"/>
    <n v="70"/>
    <x v="4"/>
    <s v="None"/>
  </r>
  <r>
    <n v="219"/>
    <x v="0"/>
    <x v="16"/>
    <s v="Engineer"/>
    <x v="4"/>
    <n v="8"/>
    <n v="90"/>
    <n v="5"/>
    <x v="1"/>
    <s v="130/85"/>
    <n v="70"/>
    <x v="4"/>
    <s v="Sleep Apnea"/>
  </r>
  <r>
    <n v="220"/>
    <x v="0"/>
    <x v="16"/>
    <s v="Salesperson"/>
    <x v="6"/>
    <n v="6"/>
    <n v="45"/>
    <n v="7"/>
    <x v="0"/>
    <s v="130/85"/>
    <n v="72"/>
    <x v="18"/>
    <s v="Sleep Apnea"/>
  </r>
  <r>
    <n v="221"/>
    <x v="1"/>
    <x v="17"/>
    <s v="Teacher"/>
    <x v="18"/>
    <n v="7"/>
    <n v="45"/>
    <n v="4"/>
    <x v="0"/>
    <s v="135/90"/>
    <n v="65"/>
    <x v="18"/>
    <s v="Insomnia"/>
  </r>
  <r>
    <n v="222"/>
    <x v="0"/>
    <x v="17"/>
    <s v="Salesperson"/>
    <x v="10"/>
    <n v="6"/>
    <n v="45"/>
    <n v="7"/>
    <x v="0"/>
    <s v="130/85"/>
    <n v="72"/>
    <x v="18"/>
    <s v="Insomnia"/>
  </r>
  <r>
    <n v="223"/>
    <x v="0"/>
    <x v="17"/>
    <s v="Salesperson"/>
    <x v="3"/>
    <n v="6"/>
    <n v="45"/>
    <n v="7"/>
    <x v="0"/>
    <s v="130/85"/>
    <n v="72"/>
    <x v="18"/>
    <s v="Insomnia"/>
  </r>
  <r>
    <n v="224"/>
    <x v="0"/>
    <x v="17"/>
    <s v="Salesperson"/>
    <x v="10"/>
    <n v="6"/>
    <n v="45"/>
    <n v="7"/>
    <x v="0"/>
    <s v="130/85"/>
    <n v="72"/>
    <x v="18"/>
    <s v="Insomnia"/>
  </r>
  <r>
    <n v="225"/>
    <x v="1"/>
    <x v="17"/>
    <s v="Teacher"/>
    <x v="18"/>
    <n v="7"/>
    <n v="45"/>
    <n v="4"/>
    <x v="0"/>
    <s v="135/90"/>
    <n v="65"/>
    <x v="18"/>
    <s v="Insomnia"/>
  </r>
  <r>
    <n v="226"/>
    <x v="0"/>
    <x v="17"/>
    <s v="Salesperson"/>
    <x v="3"/>
    <n v="6"/>
    <n v="45"/>
    <n v="7"/>
    <x v="0"/>
    <s v="130/85"/>
    <n v="72"/>
    <x v="18"/>
    <s v="Insomnia"/>
  </r>
  <r>
    <n v="227"/>
    <x v="1"/>
    <x v="17"/>
    <s v="Teacher"/>
    <x v="18"/>
    <n v="7"/>
    <n v="45"/>
    <n v="4"/>
    <x v="0"/>
    <s v="135/90"/>
    <n v="65"/>
    <x v="18"/>
    <s v="Insomnia"/>
  </r>
  <r>
    <n v="228"/>
    <x v="0"/>
    <x v="17"/>
    <s v="Salesperson"/>
    <x v="3"/>
    <n v="6"/>
    <n v="45"/>
    <n v="7"/>
    <x v="0"/>
    <s v="130/85"/>
    <n v="72"/>
    <x v="18"/>
    <s v="Insomnia"/>
  </r>
  <r>
    <n v="229"/>
    <x v="1"/>
    <x v="17"/>
    <s v="Teacher"/>
    <x v="18"/>
    <n v="7"/>
    <n v="45"/>
    <n v="4"/>
    <x v="0"/>
    <s v="135/90"/>
    <n v="65"/>
    <x v="18"/>
    <s v="Insomnia"/>
  </r>
  <r>
    <n v="230"/>
    <x v="0"/>
    <x v="17"/>
    <s v="Salesperson"/>
    <x v="3"/>
    <n v="6"/>
    <n v="45"/>
    <n v="7"/>
    <x v="0"/>
    <s v="130/85"/>
    <n v="72"/>
    <x v="18"/>
    <s v="Insomnia"/>
  </r>
  <r>
    <n v="231"/>
    <x v="1"/>
    <x v="17"/>
    <s v="Teacher"/>
    <x v="18"/>
    <n v="7"/>
    <n v="45"/>
    <n v="4"/>
    <x v="0"/>
    <s v="135/90"/>
    <n v="65"/>
    <x v="18"/>
    <s v="Insomnia"/>
  </r>
  <r>
    <n v="232"/>
    <x v="0"/>
    <x v="17"/>
    <s v="Salesperson"/>
    <x v="3"/>
    <n v="6"/>
    <n v="45"/>
    <n v="7"/>
    <x v="0"/>
    <s v="130/85"/>
    <n v="72"/>
    <x v="18"/>
    <s v="Insomnia"/>
  </r>
  <r>
    <n v="233"/>
    <x v="1"/>
    <x v="17"/>
    <s v="Teacher"/>
    <x v="18"/>
    <n v="7"/>
    <n v="45"/>
    <n v="4"/>
    <x v="0"/>
    <s v="135/90"/>
    <n v="65"/>
    <x v="18"/>
    <s v="Insomnia"/>
  </r>
  <r>
    <n v="234"/>
    <x v="0"/>
    <x v="17"/>
    <s v="Salesperson"/>
    <x v="3"/>
    <n v="6"/>
    <n v="45"/>
    <n v="7"/>
    <x v="0"/>
    <s v="130/85"/>
    <n v="72"/>
    <x v="18"/>
    <s v="Insomnia"/>
  </r>
  <r>
    <n v="235"/>
    <x v="1"/>
    <x v="17"/>
    <s v="Teacher"/>
    <x v="18"/>
    <n v="7"/>
    <n v="45"/>
    <n v="4"/>
    <x v="0"/>
    <s v="135/90"/>
    <n v="65"/>
    <x v="18"/>
    <s v="Insomnia"/>
  </r>
  <r>
    <n v="236"/>
    <x v="0"/>
    <x v="17"/>
    <s v="Salesperson"/>
    <x v="3"/>
    <n v="6"/>
    <n v="45"/>
    <n v="7"/>
    <x v="0"/>
    <s v="130/85"/>
    <n v="72"/>
    <x v="18"/>
    <s v="Insomnia"/>
  </r>
  <r>
    <n v="237"/>
    <x v="0"/>
    <x v="17"/>
    <s v="Salesperson"/>
    <x v="10"/>
    <n v="6"/>
    <n v="45"/>
    <n v="7"/>
    <x v="0"/>
    <s v="130/85"/>
    <n v="72"/>
    <x v="18"/>
    <s v="Insomnia"/>
  </r>
  <r>
    <n v="238"/>
    <x v="1"/>
    <x v="17"/>
    <s v="Teacher"/>
    <x v="6"/>
    <n v="7"/>
    <n v="45"/>
    <n v="4"/>
    <x v="0"/>
    <s v="135/90"/>
    <n v="65"/>
    <x v="18"/>
    <s v="Insomnia"/>
  </r>
  <r>
    <n v="239"/>
    <x v="0"/>
    <x v="17"/>
    <s v="Salesperson"/>
    <x v="3"/>
    <n v="6"/>
    <n v="45"/>
    <n v="7"/>
    <x v="0"/>
    <s v="130/85"/>
    <n v="72"/>
    <x v="18"/>
    <s v="Insomnia"/>
  </r>
  <r>
    <n v="240"/>
    <x v="0"/>
    <x v="17"/>
    <s v="Salesperson"/>
    <x v="10"/>
    <n v="6"/>
    <n v="45"/>
    <n v="7"/>
    <x v="0"/>
    <s v="130/85"/>
    <n v="72"/>
    <x v="18"/>
    <s v="Insomnia"/>
  </r>
  <r>
    <n v="241"/>
    <x v="1"/>
    <x v="17"/>
    <s v="Teacher"/>
    <x v="6"/>
    <n v="7"/>
    <n v="45"/>
    <n v="4"/>
    <x v="0"/>
    <s v="135/90"/>
    <n v="65"/>
    <x v="18"/>
    <s v="Insomnia"/>
  </r>
  <r>
    <n v="242"/>
    <x v="0"/>
    <x v="17"/>
    <s v="Salesperson"/>
    <x v="3"/>
    <n v="6"/>
    <n v="45"/>
    <n v="7"/>
    <x v="0"/>
    <s v="130/85"/>
    <n v="72"/>
    <x v="18"/>
    <s v="Insomnia"/>
  </r>
  <r>
    <n v="243"/>
    <x v="0"/>
    <x v="17"/>
    <s v="Salesperson"/>
    <x v="10"/>
    <n v="6"/>
    <n v="45"/>
    <n v="7"/>
    <x v="0"/>
    <s v="130/85"/>
    <n v="72"/>
    <x v="18"/>
    <s v="Insomnia"/>
  </r>
  <r>
    <n v="244"/>
    <x v="1"/>
    <x v="17"/>
    <s v="Teacher"/>
    <x v="6"/>
    <n v="7"/>
    <n v="45"/>
    <n v="4"/>
    <x v="0"/>
    <s v="135/90"/>
    <n v="65"/>
    <x v="18"/>
    <s v="Insomnia"/>
  </r>
  <r>
    <n v="245"/>
    <x v="0"/>
    <x v="17"/>
    <s v="Salesperson"/>
    <x v="3"/>
    <n v="6"/>
    <n v="45"/>
    <n v="7"/>
    <x v="0"/>
    <s v="130/85"/>
    <n v="72"/>
    <x v="18"/>
    <s v="Insomnia"/>
  </r>
  <r>
    <n v="246"/>
    <x v="1"/>
    <x v="17"/>
    <s v="Teacher"/>
    <x v="6"/>
    <n v="7"/>
    <n v="45"/>
    <n v="4"/>
    <x v="0"/>
    <s v="135/90"/>
    <n v="65"/>
    <x v="18"/>
    <s v="Insomnia"/>
  </r>
  <r>
    <n v="247"/>
    <x v="0"/>
    <x v="17"/>
    <s v="Salesperson"/>
    <x v="3"/>
    <n v="6"/>
    <n v="45"/>
    <n v="7"/>
    <x v="0"/>
    <s v="130/85"/>
    <n v="72"/>
    <x v="18"/>
    <s v="Insomnia"/>
  </r>
  <r>
    <n v="248"/>
    <x v="0"/>
    <x v="17"/>
    <s v="Engineer"/>
    <x v="21"/>
    <n v="7"/>
    <n v="45"/>
    <n v="7"/>
    <x v="0"/>
    <s v="130/85"/>
    <n v="78"/>
    <x v="8"/>
    <s v="Insomnia"/>
  </r>
  <r>
    <n v="249"/>
    <x v="0"/>
    <x v="17"/>
    <s v="Salesperson"/>
    <x v="10"/>
    <n v="6"/>
    <n v="45"/>
    <n v="7"/>
    <x v="0"/>
    <s v="130/85"/>
    <n v="72"/>
    <x v="18"/>
    <s v="None"/>
  </r>
  <r>
    <n v="250"/>
    <x v="0"/>
    <x v="17"/>
    <s v="Salesperson"/>
    <x v="6"/>
    <n v="6"/>
    <n v="45"/>
    <n v="7"/>
    <x v="0"/>
    <s v="130/85"/>
    <n v="72"/>
    <x v="18"/>
    <s v="None"/>
  </r>
  <r>
    <n v="251"/>
    <x v="1"/>
    <x v="18"/>
    <s v="Teacher"/>
    <x v="21"/>
    <n v="7"/>
    <n v="30"/>
    <n v="6"/>
    <x v="0"/>
    <s v="135/90"/>
    <n v="65"/>
    <x v="18"/>
    <s v="Insomnia"/>
  </r>
  <r>
    <n v="252"/>
    <x v="1"/>
    <x v="18"/>
    <s v="Teacher"/>
    <x v="21"/>
    <n v="7"/>
    <n v="30"/>
    <n v="6"/>
    <x v="0"/>
    <s v="135/90"/>
    <n v="65"/>
    <x v="18"/>
    <s v="Insomnia"/>
  </r>
  <r>
    <n v="253"/>
    <x v="1"/>
    <x v="18"/>
    <s v="Teacher"/>
    <x v="6"/>
    <n v="7"/>
    <n v="45"/>
    <n v="4"/>
    <x v="0"/>
    <s v="135/90"/>
    <n v="65"/>
    <x v="18"/>
    <s v="Insomnia"/>
  </r>
  <r>
    <n v="254"/>
    <x v="1"/>
    <x v="18"/>
    <s v="Teacher"/>
    <x v="6"/>
    <n v="7"/>
    <n v="45"/>
    <n v="4"/>
    <x v="0"/>
    <s v="135/90"/>
    <n v="65"/>
    <x v="18"/>
    <s v="Insomnia"/>
  </r>
  <r>
    <n v="255"/>
    <x v="1"/>
    <x v="18"/>
    <s v="Teacher"/>
    <x v="6"/>
    <n v="7"/>
    <n v="45"/>
    <n v="4"/>
    <x v="0"/>
    <s v="135/90"/>
    <n v="65"/>
    <x v="18"/>
    <s v="Insomnia"/>
  </r>
  <r>
    <n v="256"/>
    <x v="1"/>
    <x v="18"/>
    <s v="Teacher"/>
    <x v="6"/>
    <n v="7"/>
    <n v="45"/>
    <n v="4"/>
    <x v="0"/>
    <s v="135/90"/>
    <n v="65"/>
    <x v="18"/>
    <s v="Insomnia"/>
  </r>
  <r>
    <n v="257"/>
    <x v="1"/>
    <x v="18"/>
    <s v="Teacher"/>
    <x v="18"/>
    <n v="7"/>
    <n v="45"/>
    <n v="4"/>
    <x v="0"/>
    <s v="135/90"/>
    <n v="65"/>
    <x v="18"/>
    <s v="Insomnia"/>
  </r>
  <r>
    <n v="258"/>
    <x v="1"/>
    <x v="18"/>
    <s v="Teacher"/>
    <x v="18"/>
    <n v="7"/>
    <n v="45"/>
    <n v="4"/>
    <x v="0"/>
    <s v="135/90"/>
    <n v="65"/>
    <x v="18"/>
    <s v="Insomnia"/>
  </r>
  <r>
    <n v="259"/>
    <x v="1"/>
    <x v="18"/>
    <s v="Teacher"/>
    <x v="18"/>
    <n v="7"/>
    <n v="45"/>
    <n v="4"/>
    <x v="0"/>
    <s v="135/90"/>
    <n v="65"/>
    <x v="18"/>
    <s v="Insomnia"/>
  </r>
  <r>
    <n v="260"/>
    <x v="1"/>
    <x v="18"/>
    <s v="Teacher"/>
    <x v="18"/>
    <n v="7"/>
    <n v="45"/>
    <n v="4"/>
    <x v="0"/>
    <s v="135/90"/>
    <n v="65"/>
    <x v="18"/>
    <s v="Insomnia"/>
  </r>
  <r>
    <n v="261"/>
    <x v="1"/>
    <x v="18"/>
    <s v="Teacher"/>
    <x v="18"/>
    <n v="7"/>
    <n v="45"/>
    <n v="4"/>
    <x v="0"/>
    <s v="135/90"/>
    <n v="65"/>
    <x v="18"/>
    <s v="Insomnia"/>
  </r>
  <r>
    <n v="262"/>
    <x v="1"/>
    <x v="18"/>
    <s v="Teacher"/>
    <x v="18"/>
    <n v="7"/>
    <n v="45"/>
    <n v="4"/>
    <x v="0"/>
    <s v="135/90"/>
    <n v="65"/>
    <x v="18"/>
    <s v="None"/>
  </r>
  <r>
    <n v="263"/>
    <x v="1"/>
    <x v="18"/>
    <s v="Teacher"/>
    <x v="18"/>
    <n v="7"/>
    <n v="45"/>
    <n v="4"/>
    <x v="0"/>
    <s v="135/90"/>
    <n v="65"/>
    <x v="18"/>
    <s v="None"/>
  </r>
  <r>
    <n v="264"/>
    <x v="1"/>
    <x v="18"/>
    <s v="Manager"/>
    <x v="19"/>
    <n v="7"/>
    <n v="55"/>
    <n v="5"/>
    <x v="0"/>
    <s v="125/82"/>
    <n v="75"/>
    <x v="10"/>
    <s v="None"/>
  </r>
  <r>
    <n v="265"/>
    <x v="0"/>
    <x v="19"/>
    <s v="Doctor"/>
    <x v="15"/>
    <n v="7"/>
    <n v="65"/>
    <n v="5"/>
    <x v="2"/>
    <s v="142/92"/>
    <n v="83"/>
    <x v="3"/>
    <s v="Insomnia"/>
  </r>
  <r>
    <n v="266"/>
    <x v="1"/>
    <x v="19"/>
    <s v="Nurse"/>
    <x v="2"/>
    <n v="6"/>
    <n v="90"/>
    <n v="8"/>
    <x v="0"/>
    <s v="140/95"/>
    <n v="75"/>
    <x v="1"/>
    <s v="Sleep Apnea"/>
  </r>
  <r>
    <n v="267"/>
    <x v="0"/>
    <x v="19"/>
    <s v="Doctor"/>
    <x v="15"/>
    <n v="7"/>
    <n v="65"/>
    <n v="5"/>
    <x v="2"/>
    <s v="142/92"/>
    <n v="83"/>
    <x v="3"/>
    <s v="Insomnia"/>
  </r>
  <r>
    <n v="268"/>
    <x v="1"/>
    <x v="20"/>
    <s v="Nurse"/>
    <x v="1"/>
    <n v="6"/>
    <n v="90"/>
    <n v="8"/>
    <x v="0"/>
    <s v="140/95"/>
    <n v="75"/>
    <x v="1"/>
    <s v="None"/>
  </r>
  <r>
    <n v="269"/>
    <x v="1"/>
    <x v="20"/>
    <s v="Nurse"/>
    <x v="5"/>
    <n v="6"/>
    <n v="90"/>
    <n v="8"/>
    <x v="0"/>
    <s v="140/95"/>
    <n v="75"/>
    <x v="1"/>
    <s v="Sleep Apnea"/>
  </r>
  <r>
    <n v="270"/>
    <x v="1"/>
    <x v="20"/>
    <s v="Nurse"/>
    <x v="0"/>
    <n v="6"/>
    <n v="90"/>
    <n v="8"/>
    <x v="0"/>
    <s v="140/95"/>
    <n v="75"/>
    <x v="1"/>
    <s v="Sleep Apnea"/>
  </r>
  <r>
    <n v="271"/>
    <x v="1"/>
    <x v="20"/>
    <s v="Nurse"/>
    <x v="0"/>
    <n v="6"/>
    <n v="90"/>
    <n v="8"/>
    <x v="0"/>
    <s v="140/95"/>
    <n v="75"/>
    <x v="1"/>
    <s v="Sleep Apnea"/>
  </r>
  <r>
    <n v="272"/>
    <x v="1"/>
    <x v="20"/>
    <s v="Nurse"/>
    <x v="0"/>
    <n v="6"/>
    <n v="90"/>
    <n v="8"/>
    <x v="0"/>
    <s v="140/95"/>
    <n v="75"/>
    <x v="1"/>
    <s v="Sleep Apnea"/>
  </r>
  <r>
    <n v="273"/>
    <x v="1"/>
    <x v="20"/>
    <s v="Nurse"/>
    <x v="0"/>
    <n v="6"/>
    <n v="90"/>
    <n v="8"/>
    <x v="0"/>
    <s v="140/95"/>
    <n v="75"/>
    <x v="1"/>
    <s v="Sleep Apnea"/>
  </r>
  <r>
    <n v="274"/>
    <x v="1"/>
    <x v="20"/>
    <s v="Nurse"/>
    <x v="1"/>
    <n v="6"/>
    <n v="90"/>
    <n v="8"/>
    <x v="0"/>
    <s v="140/95"/>
    <n v="75"/>
    <x v="1"/>
    <s v="Sleep Apnea"/>
  </r>
  <r>
    <n v="275"/>
    <x v="1"/>
    <x v="20"/>
    <s v="Nurse"/>
    <x v="1"/>
    <n v="6"/>
    <n v="90"/>
    <n v="8"/>
    <x v="0"/>
    <s v="140/95"/>
    <n v="75"/>
    <x v="1"/>
    <s v="Sleep Apnea"/>
  </r>
  <r>
    <n v="276"/>
    <x v="1"/>
    <x v="20"/>
    <s v="Nurse"/>
    <x v="1"/>
    <n v="6"/>
    <n v="90"/>
    <n v="8"/>
    <x v="0"/>
    <s v="140/95"/>
    <n v="75"/>
    <x v="1"/>
    <s v="Sleep Apnea"/>
  </r>
  <r>
    <n v="277"/>
    <x v="0"/>
    <x v="20"/>
    <s v="Doctor"/>
    <x v="22"/>
    <n v="9"/>
    <n v="85"/>
    <n v="3"/>
    <x v="2"/>
    <s v="139/91"/>
    <n v="86"/>
    <x v="19"/>
    <s v="Sleep Apnea"/>
  </r>
  <r>
    <n v="278"/>
    <x v="0"/>
    <x v="20"/>
    <s v="Doctor"/>
    <x v="22"/>
    <n v="9"/>
    <n v="85"/>
    <n v="3"/>
    <x v="2"/>
    <s v="139/91"/>
    <n v="86"/>
    <x v="19"/>
    <s v="Sleep Apnea"/>
  </r>
  <r>
    <n v="279"/>
    <x v="1"/>
    <x v="21"/>
    <s v="Nurse"/>
    <x v="0"/>
    <n v="6"/>
    <n v="90"/>
    <n v="8"/>
    <x v="0"/>
    <s v="140/95"/>
    <n v="75"/>
    <x v="1"/>
    <s v="Insomnia"/>
  </r>
  <r>
    <n v="280"/>
    <x v="1"/>
    <x v="21"/>
    <s v="Engineer"/>
    <x v="23"/>
    <n v="9"/>
    <n v="30"/>
    <n v="3"/>
    <x v="1"/>
    <s v="125/80"/>
    <n v="65"/>
    <x v="8"/>
    <s v="None"/>
  </r>
  <r>
    <n v="281"/>
    <x v="1"/>
    <x v="21"/>
    <s v="Nurse"/>
    <x v="5"/>
    <n v="6"/>
    <n v="90"/>
    <n v="8"/>
    <x v="0"/>
    <s v="140/95"/>
    <n v="75"/>
    <x v="1"/>
    <s v="None"/>
  </r>
  <r>
    <n v="282"/>
    <x v="1"/>
    <x v="21"/>
    <s v="Nurse"/>
    <x v="0"/>
    <n v="6"/>
    <n v="90"/>
    <n v="8"/>
    <x v="0"/>
    <s v="140/95"/>
    <n v="75"/>
    <x v="1"/>
    <s v="Sleep Apnea"/>
  </r>
  <r>
    <n v="283"/>
    <x v="1"/>
    <x v="21"/>
    <s v="Nurse"/>
    <x v="5"/>
    <n v="6"/>
    <n v="90"/>
    <n v="8"/>
    <x v="0"/>
    <s v="140/95"/>
    <n v="75"/>
    <x v="1"/>
    <s v="Sleep Apnea"/>
  </r>
  <r>
    <n v="284"/>
    <x v="1"/>
    <x v="21"/>
    <s v="Nurse"/>
    <x v="5"/>
    <n v="6"/>
    <n v="90"/>
    <n v="8"/>
    <x v="0"/>
    <s v="140/95"/>
    <n v="75"/>
    <x v="1"/>
    <s v="Sleep Apnea"/>
  </r>
  <r>
    <n v="285"/>
    <x v="1"/>
    <x v="21"/>
    <s v="Nurse"/>
    <x v="5"/>
    <n v="6"/>
    <n v="90"/>
    <n v="8"/>
    <x v="0"/>
    <s v="140/95"/>
    <n v="75"/>
    <x v="1"/>
    <s v="Sleep Apnea"/>
  </r>
  <r>
    <n v="286"/>
    <x v="1"/>
    <x v="21"/>
    <s v="Nurse"/>
    <x v="5"/>
    <n v="6"/>
    <n v="90"/>
    <n v="8"/>
    <x v="0"/>
    <s v="140/95"/>
    <n v="75"/>
    <x v="1"/>
    <s v="Sleep Apnea"/>
  </r>
  <r>
    <n v="287"/>
    <x v="1"/>
    <x v="21"/>
    <s v="Nurse"/>
    <x v="5"/>
    <n v="6"/>
    <n v="90"/>
    <n v="8"/>
    <x v="0"/>
    <s v="140/95"/>
    <n v="75"/>
    <x v="1"/>
    <s v="Sleep Apnea"/>
  </r>
  <r>
    <n v="288"/>
    <x v="1"/>
    <x v="21"/>
    <s v="Nurse"/>
    <x v="5"/>
    <n v="6"/>
    <n v="90"/>
    <n v="8"/>
    <x v="0"/>
    <s v="140/95"/>
    <n v="75"/>
    <x v="1"/>
    <s v="Sleep Apnea"/>
  </r>
  <r>
    <n v="289"/>
    <x v="1"/>
    <x v="21"/>
    <s v="Nurse"/>
    <x v="5"/>
    <n v="6"/>
    <n v="90"/>
    <n v="8"/>
    <x v="0"/>
    <s v="140/95"/>
    <n v="75"/>
    <x v="1"/>
    <s v="Sleep Apnea"/>
  </r>
  <r>
    <n v="290"/>
    <x v="1"/>
    <x v="21"/>
    <s v="Nurse"/>
    <x v="0"/>
    <n v="6"/>
    <n v="90"/>
    <n v="8"/>
    <x v="0"/>
    <s v="140/95"/>
    <n v="75"/>
    <x v="1"/>
    <s v="Sleep Apnea"/>
  </r>
  <r>
    <n v="291"/>
    <x v="1"/>
    <x v="21"/>
    <s v="Nurse"/>
    <x v="5"/>
    <n v="6"/>
    <n v="90"/>
    <n v="8"/>
    <x v="0"/>
    <s v="140/95"/>
    <n v="75"/>
    <x v="1"/>
    <s v="Sleep Apnea"/>
  </r>
  <r>
    <n v="292"/>
    <x v="1"/>
    <x v="21"/>
    <s v="Nurse"/>
    <x v="0"/>
    <n v="6"/>
    <n v="90"/>
    <n v="8"/>
    <x v="0"/>
    <s v="140/95"/>
    <n v="75"/>
    <x v="1"/>
    <s v="Sleep Apnea"/>
  </r>
  <r>
    <n v="293"/>
    <x v="1"/>
    <x v="21"/>
    <s v="Nurse"/>
    <x v="0"/>
    <n v="6"/>
    <n v="90"/>
    <n v="8"/>
    <x v="0"/>
    <s v="140/95"/>
    <n v="75"/>
    <x v="1"/>
    <s v="Sleep Apnea"/>
  </r>
  <r>
    <n v="294"/>
    <x v="1"/>
    <x v="21"/>
    <s v="Nurse"/>
    <x v="5"/>
    <n v="6"/>
    <n v="90"/>
    <n v="8"/>
    <x v="0"/>
    <s v="140/95"/>
    <n v="75"/>
    <x v="1"/>
    <s v="Sleep Apnea"/>
  </r>
  <r>
    <n v="295"/>
    <x v="1"/>
    <x v="21"/>
    <s v="Nurse"/>
    <x v="0"/>
    <n v="6"/>
    <n v="90"/>
    <n v="8"/>
    <x v="0"/>
    <s v="140/95"/>
    <n v="75"/>
    <x v="1"/>
    <s v="Sleep Apnea"/>
  </r>
  <r>
    <n v="296"/>
    <x v="1"/>
    <x v="21"/>
    <s v="Nurse"/>
    <x v="5"/>
    <n v="6"/>
    <n v="90"/>
    <n v="8"/>
    <x v="0"/>
    <s v="140/95"/>
    <n v="75"/>
    <x v="1"/>
    <s v="Sleep Apnea"/>
  </r>
  <r>
    <n v="297"/>
    <x v="1"/>
    <x v="21"/>
    <s v="Nurse"/>
    <x v="0"/>
    <n v="6"/>
    <n v="90"/>
    <n v="8"/>
    <x v="0"/>
    <s v="140/95"/>
    <n v="75"/>
    <x v="1"/>
    <s v="Sleep Apnea"/>
  </r>
  <r>
    <n v="298"/>
    <x v="1"/>
    <x v="21"/>
    <s v="Nurse"/>
    <x v="0"/>
    <n v="6"/>
    <n v="90"/>
    <n v="8"/>
    <x v="0"/>
    <s v="140/95"/>
    <n v="75"/>
    <x v="1"/>
    <s v="Sleep Apnea"/>
  </r>
  <r>
    <n v="299"/>
    <x v="1"/>
    <x v="22"/>
    <s v="Engineer"/>
    <x v="24"/>
    <n v="9"/>
    <n v="30"/>
    <n v="3"/>
    <x v="1"/>
    <s v="125/80"/>
    <n v="65"/>
    <x v="8"/>
    <s v="None"/>
  </r>
  <r>
    <n v="300"/>
    <x v="1"/>
    <x v="22"/>
    <s v="Engineer"/>
    <x v="24"/>
    <n v="9"/>
    <n v="30"/>
    <n v="3"/>
    <x v="1"/>
    <s v="125/80"/>
    <n v="65"/>
    <x v="8"/>
    <s v="None"/>
  </r>
  <r>
    <n v="301"/>
    <x v="1"/>
    <x v="22"/>
    <s v="Engineer"/>
    <x v="24"/>
    <n v="9"/>
    <n v="30"/>
    <n v="3"/>
    <x v="1"/>
    <s v="125/80"/>
    <n v="65"/>
    <x v="8"/>
    <s v="None"/>
  </r>
  <r>
    <n v="302"/>
    <x v="1"/>
    <x v="22"/>
    <s v="Engineer"/>
    <x v="24"/>
    <n v="9"/>
    <n v="30"/>
    <n v="3"/>
    <x v="1"/>
    <s v="125/80"/>
    <n v="65"/>
    <x v="8"/>
    <s v="None"/>
  </r>
  <r>
    <n v="303"/>
    <x v="1"/>
    <x v="22"/>
    <s v="Nurse"/>
    <x v="17"/>
    <n v="7"/>
    <n v="55"/>
    <n v="6"/>
    <x v="3"/>
    <s v="125/82"/>
    <n v="72"/>
    <x v="18"/>
    <s v="None"/>
  </r>
  <r>
    <n v="304"/>
    <x v="1"/>
    <x v="22"/>
    <s v="Nurse"/>
    <x v="5"/>
    <n v="6"/>
    <n v="90"/>
    <n v="8"/>
    <x v="0"/>
    <s v="140/95"/>
    <n v="75"/>
    <x v="1"/>
    <s v="Sleep Apnea"/>
  </r>
  <r>
    <n v="305"/>
    <x v="1"/>
    <x v="22"/>
    <s v="Nurse"/>
    <x v="0"/>
    <n v="6"/>
    <n v="90"/>
    <n v="8"/>
    <x v="0"/>
    <s v="140/95"/>
    <n v="75"/>
    <x v="1"/>
    <s v="Sleep Apnea"/>
  </r>
  <r>
    <n v="306"/>
    <x v="1"/>
    <x v="22"/>
    <s v="Nurse"/>
    <x v="0"/>
    <n v="6"/>
    <n v="90"/>
    <n v="8"/>
    <x v="0"/>
    <s v="140/95"/>
    <n v="75"/>
    <x v="1"/>
    <s v="Sleep Apnea"/>
  </r>
  <r>
    <n v="307"/>
    <x v="1"/>
    <x v="23"/>
    <s v="Accountant"/>
    <x v="6"/>
    <n v="7"/>
    <n v="45"/>
    <n v="7"/>
    <x v="0"/>
    <s v="130/85"/>
    <n v="72"/>
    <x v="18"/>
    <s v="Insomnia"/>
  </r>
  <r>
    <n v="308"/>
    <x v="1"/>
    <x v="23"/>
    <s v="Accountant"/>
    <x v="6"/>
    <n v="7"/>
    <n v="45"/>
    <n v="7"/>
    <x v="0"/>
    <s v="130/85"/>
    <n v="72"/>
    <x v="18"/>
    <s v="Insomnia"/>
  </r>
  <r>
    <n v="309"/>
    <x v="1"/>
    <x v="23"/>
    <s v="Accountant"/>
    <x v="18"/>
    <n v="7"/>
    <n v="45"/>
    <n v="7"/>
    <x v="0"/>
    <s v="130/85"/>
    <n v="72"/>
    <x v="18"/>
    <s v="Insomnia"/>
  </r>
  <r>
    <n v="310"/>
    <x v="1"/>
    <x v="23"/>
    <s v="Accountant"/>
    <x v="18"/>
    <n v="7"/>
    <n v="45"/>
    <n v="7"/>
    <x v="0"/>
    <s v="130/85"/>
    <n v="72"/>
    <x v="18"/>
    <s v="Insomnia"/>
  </r>
  <r>
    <n v="311"/>
    <x v="1"/>
    <x v="23"/>
    <s v="Accountant"/>
    <x v="18"/>
    <n v="7"/>
    <n v="45"/>
    <n v="7"/>
    <x v="0"/>
    <s v="130/85"/>
    <n v="72"/>
    <x v="18"/>
    <s v="Insomnia"/>
  </r>
  <r>
    <n v="312"/>
    <x v="1"/>
    <x v="23"/>
    <s v="Accountant"/>
    <x v="18"/>
    <n v="7"/>
    <n v="45"/>
    <n v="7"/>
    <x v="0"/>
    <s v="130/85"/>
    <n v="72"/>
    <x v="18"/>
    <s v="Insomnia"/>
  </r>
  <r>
    <n v="313"/>
    <x v="1"/>
    <x v="23"/>
    <s v="Engineer"/>
    <x v="25"/>
    <n v="9"/>
    <n v="30"/>
    <n v="3"/>
    <x v="1"/>
    <s v="125/80"/>
    <n v="65"/>
    <x v="8"/>
    <s v="None"/>
  </r>
  <r>
    <n v="314"/>
    <x v="1"/>
    <x v="23"/>
    <s v="Engineer"/>
    <x v="25"/>
    <n v="9"/>
    <n v="30"/>
    <n v="3"/>
    <x v="1"/>
    <s v="125/80"/>
    <n v="65"/>
    <x v="8"/>
    <s v="None"/>
  </r>
  <r>
    <n v="315"/>
    <x v="1"/>
    <x v="23"/>
    <s v="Engineer"/>
    <x v="25"/>
    <n v="9"/>
    <n v="30"/>
    <n v="3"/>
    <x v="1"/>
    <s v="125/80"/>
    <n v="65"/>
    <x v="8"/>
    <s v="None"/>
  </r>
  <r>
    <n v="316"/>
    <x v="1"/>
    <x v="24"/>
    <s v="Engineer"/>
    <x v="23"/>
    <n v="9"/>
    <n v="30"/>
    <n v="3"/>
    <x v="1"/>
    <s v="125/80"/>
    <n v="65"/>
    <x v="8"/>
    <s v="Insomnia"/>
  </r>
  <r>
    <n v="317"/>
    <x v="1"/>
    <x v="24"/>
    <s v="Engineer"/>
    <x v="24"/>
    <n v="9"/>
    <n v="30"/>
    <n v="3"/>
    <x v="1"/>
    <s v="125/80"/>
    <n v="65"/>
    <x v="8"/>
    <s v="None"/>
  </r>
  <r>
    <n v="318"/>
    <x v="1"/>
    <x v="24"/>
    <s v="Engineer"/>
    <x v="24"/>
    <n v="9"/>
    <n v="30"/>
    <n v="3"/>
    <x v="1"/>
    <s v="125/80"/>
    <n v="65"/>
    <x v="8"/>
    <s v="None"/>
  </r>
  <r>
    <n v="319"/>
    <x v="1"/>
    <x v="24"/>
    <s v="Engineer"/>
    <x v="25"/>
    <n v="9"/>
    <n v="30"/>
    <n v="3"/>
    <x v="1"/>
    <s v="125/80"/>
    <n v="65"/>
    <x v="8"/>
    <s v="None"/>
  </r>
  <r>
    <n v="320"/>
    <x v="1"/>
    <x v="24"/>
    <s v="Engineer"/>
    <x v="25"/>
    <n v="9"/>
    <n v="30"/>
    <n v="3"/>
    <x v="1"/>
    <s v="125/80"/>
    <n v="65"/>
    <x v="8"/>
    <s v="None"/>
  </r>
  <r>
    <n v="321"/>
    <x v="1"/>
    <x v="24"/>
    <s v="Engineer"/>
    <x v="24"/>
    <n v="9"/>
    <n v="30"/>
    <n v="3"/>
    <x v="1"/>
    <s v="125/80"/>
    <n v="65"/>
    <x v="8"/>
    <s v="None"/>
  </r>
  <r>
    <n v="322"/>
    <x v="1"/>
    <x v="24"/>
    <s v="Engineer"/>
    <x v="25"/>
    <n v="9"/>
    <n v="30"/>
    <n v="3"/>
    <x v="1"/>
    <s v="125/80"/>
    <n v="65"/>
    <x v="8"/>
    <s v="None"/>
  </r>
  <r>
    <n v="323"/>
    <x v="1"/>
    <x v="24"/>
    <s v="Engineer"/>
    <x v="25"/>
    <n v="9"/>
    <n v="30"/>
    <n v="3"/>
    <x v="1"/>
    <s v="125/80"/>
    <n v="65"/>
    <x v="8"/>
    <s v="None"/>
  </r>
  <r>
    <n v="324"/>
    <x v="1"/>
    <x v="24"/>
    <s v="Engineer"/>
    <x v="24"/>
    <n v="9"/>
    <n v="30"/>
    <n v="3"/>
    <x v="1"/>
    <s v="125/80"/>
    <n v="65"/>
    <x v="8"/>
    <s v="None"/>
  </r>
  <r>
    <n v="325"/>
    <x v="1"/>
    <x v="24"/>
    <s v="Engineer"/>
    <x v="23"/>
    <n v="9"/>
    <n v="30"/>
    <n v="3"/>
    <x v="1"/>
    <s v="125/80"/>
    <n v="65"/>
    <x v="8"/>
    <s v="None"/>
  </r>
  <r>
    <n v="326"/>
    <x v="1"/>
    <x v="24"/>
    <s v="Engineer"/>
    <x v="24"/>
    <n v="9"/>
    <n v="30"/>
    <n v="3"/>
    <x v="1"/>
    <s v="125/80"/>
    <n v="65"/>
    <x v="8"/>
    <s v="None"/>
  </r>
  <r>
    <n v="327"/>
    <x v="1"/>
    <x v="24"/>
    <s v="Engineer"/>
    <x v="23"/>
    <n v="9"/>
    <n v="30"/>
    <n v="3"/>
    <x v="1"/>
    <s v="125/80"/>
    <n v="65"/>
    <x v="8"/>
    <s v="None"/>
  </r>
  <r>
    <n v="328"/>
    <x v="1"/>
    <x v="24"/>
    <s v="Engineer"/>
    <x v="24"/>
    <n v="9"/>
    <n v="30"/>
    <n v="3"/>
    <x v="1"/>
    <s v="125/80"/>
    <n v="65"/>
    <x v="8"/>
    <s v="None"/>
  </r>
  <r>
    <n v="329"/>
    <x v="1"/>
    <x v="24"/>
    <s v="Engineer"/>
    <x v="23"/>
    <n v="9"/>
    <n v="30"/>
    <n v="3"/>
    <x v="1"/>
    <s v="125/80"/>
    <n v="65"/>
    <x v="8"/>
    <s v="None"/>
  </r>
  <r>
    <n v="330"/>
    <x v="1"/>
    <x v="24"/>
    <s v="Engineer"/>
    <x v="24"/>
    <n v="9"/>
    <n v="30"/>
    <n v="3"/>
    <x v="1"/>
    <s v="125/80"/>
    <n v="65"/>
    <x v="8"/>
    <s v="None"/>
  </r>
  <r>
    <n v="331"/>
    <x v="1"/>
    <x v="24"/>
    <s v="Engineer"/>
    <x v="24"/>
    <n v="9"/>
    <n v="30"/>
    <n v="3"/>
    <x v="1"/>
    <s v="125/80"/>
    <n v="65"/>
    <x v="8"/>
    <s v="None"/>
  </r>
  <r>
    <n v="332"/>
    <x v="1"/>
    <x v="24"/>
    <s v="Engineer"/>
    <x v="25"/>
    <n v="9"/>
    <n v="30"/>
    <n v="3"/>
    <x v="1"/>
    <s v="125/80"/>
    <n v="65"/>
    <x v="8"/>
    <s v="None"/>
  </r>
  <r>
    <n v="333"/>
    <x v="1"/>
    <x v="25"/>
    <s v="Engineer"/>
    <x v="25"/>
    <n v="9"/>
    <n v="30"/>
    <n v="3"/>
    <x v="1"/>
    <s v="125/80"/>
    <n v="65"/>
    <x v="8"/>
    <s v="None"/>
  </r>
  <r>
    <n v="334"/>
    <x v="1"/>
    <x v="25"/>
    <s v="Engineer"/>
    <x v="25"/>
    <n v="9"/>
    <n v="30"/>
    <n v="3"/>
    <x v="1"/>
    <s v="125/80"/>
    <n v="65"/>
    <x v="8"/>
    <s v="None"/>
  </r>
  <r>
    <n v="335"/>
    <x v="1"/>
    <x v="25"/>
    <s v="Engineer"/>
    <x v="25"/>
    <n v="9"/>
    <n v="30"/>
    <n v="3"/>
    <x v="1"/>
    <s v="125/80"/>
    <n v="65"/>
    <x v="8"/>
    <s v="None"/>
  </r>
  <r>
    <n v="336"/>
    <x v="1"/>
    <x v="25"/>
    <s v="Engineer"/>
    <x v="25"/>
    <n v="9"/>
    <n v="30"/>
    <n v="3"/>
    <x v="1"/>
    <s v="125/80"/>
    <n v="65"/>
    <x v="8"/>
    <s v="None"/>
  </r>
  <r>
    <n v="337"/>
    <x v="1"/>
    <x v="25"/>
    <s v="Engineer"/>
    <x v="25"/>
    <n v="9"/>
    <n v="30"/>
    <n v="3"/>
    <x v="1"/>
    <s v="125/80"/>
    <n v="65"/>
    <x v="8"/>
    <s v="None"/>
  </r>
  <r>
    <n v="338"/>
    <x v="1"/>
    <x v="25"/>
    <s v="Engineer"/>
    <x v="25"/>
    <n v="9"/>
    <n v="30"/>
    <n v="3"/>
    <x v="1"/>
    <s v="125/80"/>
    <n v="65"/>
    <x v="8"/>
    <s v="None"/>
  </r>
  <r>
    <n v="339"/>
    <x v="1"/>
    <x v="25"/>
    <s v="Engineer"/>
    <x v="24"/>
    <n v="9"/>
    <n v="30"/>
    <n v="3"/>
    <x v="1"/>
    <s v="125/80"/>
    <n v="65"/>
    <x v="8"/>
    <s v="None"/>
  </r>
  <r>
    <n v="340"/>
    <x v="1"/>
    <x v="26"/>
    <s v="Nurse"/>
    <x v="22"/>
    <n v="9"/>
    <n v="75"/>
    <n v="4"/>
    <x v="0"/>
    <s v="140/95"/>
    <n v="72"/>
    <x v="8"/>
    <s v="Sleep Apnea"/>
  </r>
  <r>
    <n v="341"/>
    <x v="1"/>
    <x v="26"/>
    <s v="Nurse"/>
    <x v="22"/>
    <n v="9"/>
    <n v="75"/>
    <n v="4"/>
    <x v="0"/>
    <s v="140/95"/>
    <n v="72"/>
    <x v="8"/>
    <s v="Sleep Apnea"/>
  </r>
  <r>
    <n v="342"/>
    <x v="1"/>
    <x v="27"/>
    <s v="Doctor"/>
    <x v="26"/>
    <n v="9"/>
    <n v="90"/>
    <n v="3"/>
    <x v="3"/>
    <s v="118/75"/>
    <n v="65"/>
    <x v="1"/>
    <s v="None"/>
  </r>
  <r>
    <n v="343"/>
    <x v="1"/>
    <x v="27"/>
    <s v="Doctor"/>
    <x v="26"/>
    <n v="9"/>
    <n v="90"/>
    <n v="3"/>
    <x v="3"/>
    <s v="118/75"/>
    <n v="65"/>
    <x v="1"/>
    <s v="None"/>
  </r>
  <r>
    <n v="344"/>
    <x v="1"/>
    <x v="28"/>
    <s v="Nurse"/>
    <x v="22"/>
    <n v="9"/>
    <n v="75"/>
    <n v="3"/>
    <x v="0"/>
    <s v="140/95"/>
    <n v="68"/>
    <x v="9"/>
    <s v="None"/>
  </r>
  <r>
    <n v="345"/>
    <x v="1"/>
    <x v="28"/>
    <s v="Nurse"/>
    <x v="26"/>
    <n v="9"/>
    <n v="75"/>
    <n v="3"/>
    <x v="0"/>
    <s v="140/95"/>
    <n v="68"/>
    <x v="9"/>
    <s v="Sleep Apnea"/>
  </r>
  <r>
    <n v="346"/>
    <x v="1"/>
    <x v="28"/>
    <s v="Nurse"/>
    <x v="26"/>
    <n v="9"/>
    <n v="75"/>
    <n v="3"/>
    <x v="0"/>
    <s v="140/95"/>
    <n v="68"/>
    <x v="9"/>
    <s v="Sleep Apnea"/>
  </r>
  <r>
    <n v="347"/>
    <x v="1"/>
    <x v="28"/>
    <s v="Nurse"/>
    <x v="26"/>
    <n v="9"/>
    <n v="75"/>
    <n v="3"/>
    <x v="0"/>
    <s v="140/95"/>
    <n v="68"/>
    <x v="9"/>
    <s v="Sleep Apnea"/>
  </r>
  <r>
    <n v="348"/>
    <x v="1"/>
    <x v="28"/>
    <s v="Nurse"/>
    <x v="26"/>
    <n v="9"/>
    <n v="75"/>
    <n v="3"/>
    <x v="0"/>
    <s v="140/95"/>
    <n v="68"/>
    <x v="9"/>
    <s v="Sleep Apnea"/>
  </r>
  <r>
    <n v="349"/>
    <x v="1"/>
    <x v="28"/>
    <s v="Nurse"/>
    <x v="26"/>
    <n v="9"/>
    <n v="75"/>
    <n v="3"/>
    <x v="0"/>
    <s v="140/95"/>
    <n v="68"/>
    <x v="9"/>
    <s v="Sleep Apnea"/>
  </r>
  <r>
    <n v="350"/>
    <x v="1"/>
    <x v="28"/>
    <s v="Nurse"/>
    <x v="22"/>
    <n v="9"/>
    <n v="75"/>
    <n v="3"/>
    <x v="0"/>
    <s v="140/95"/>
    <n v="68"/>
    <x v="9"/>
    <s v="Sleep Apnea"/>
  </r>
  <r>
    <n v="351"/>
    <x v="1"/>
    <x v="28"/>
    <s v="Nurse"/>
    <x v="22"/>
    <n v="9"/>
    <n v="75"/>
    <n v="3"/>
    <x v="0"/>
    <s v="140/95"/>
    <n v="68"/>
    <x v="9"/>
    <s v="Sleep Apnea"/>
  </r>
  <r>
    <n v="352"/>
    <x v="1"/>
    <x v="28"/>
    <s v="Nurse"/>
    <x v="22"/>
    <n v="9"/>
    <n v="75"/>
    <n v="3"/>
    <x v="0"/>
    <s v="140/95"/>
    <n v="68"/>
    <x v="9"/>
    <s v="Sleep Apnea"/>
  </r>
  <r>
    <n v="353"/>
    <x v="1"/>
    <x v="29"/>
    <s v="Nurse"/>
    <x v="20"/>
    <n v="9"/>
    <n v="75"/>
    <n v="3"/>
    <x v="0"/>
    <s v="140/95"/>
    <n v="68"/>
    <x v="9"/>
    <s v="Sleep Apnea"/>
  </r>
  <r>
    <n v="354"/>
    <x v="1"/>
    <x v="29"/>
    <s v="Nurse"/>
    <x v="20"/>
    <n v="9"/>
    <n v="75"/>
    <n v="3"/>
    <x v="0"/>
    <s v="140/95"/>
    <n v="68"/>
    <x v="9"/>
    <s v="Sleep Apnea"/>
  </r>
  <r>
    <n v="355"/>
    <x v="1"/>
    <x v="29"/>
    <s v="Nurse"/>
    <x v="20"/>
    <n v="9"/>
    <n v="75"/>
    <n v="3"/>
    <x v="0"/>
    <s v="140/95"/>
    <n v="68"/>
    <x v="9"/>
    <s v="Sleep Apnea"/>
  </r>
  <r>
    <n v="356"/>
    <x v="1"/>
    <x v="29"/>
    <s v="Nurse"/>
    <x v="20"/>
    <n v="9"/>
    <n v="75"/>
    <n v="3"/>
    <x v="0"/>
    <s v="140/95"/>
    <n v="68"/>
    <x v="9"/>
    <s v="Sleep Apnea"/>
  </r>
  <r>
    <n v="357"/>
    <x v="1"/>
    <x v="29"/>
    <s v="Nurse"/>
    <x v="20"/>
    <n v="9"/>
    <n v="75"/>
    <n v="3"/>
    <x v="0"/>
    <s v="140/95"/>
    <n v="68"/>
    <x v="9"/>
    <s v="Sleep Apnea"/>
  </r>
  <r>
    <n v="358"/>
    <x v="1"/>
    <x v="29"/>
    <s v="Nurse"/>
    <x v="20"/>
    <n v="9"/>
    <n v="75"/>
    <n v="3"/>
    <x v="0"/>
    <s v="140/95"/>
    <n v="68"/>
    <x v="9"/>
    <s v="Sleep Apnea"/>
  </r>
  <r>
    <n v="359"/>
    <x v="1"/>
    <x v="30"/>
    <s v="Nurse"/>
    <x v="20"/>
    <n v="9"/>
    <n v="75"/>
    <n v="3"/>
    <x v="0"/>
    <s v="140/95"/>
    <n v="68"/>
    <x v="9"/>
    <s v="None"/>
  </r>
  <r>
    <n v="360"/>
    <x v="1"/>
    <x v="30"/>
    <s v="Nurse"/>
    <x v="22"/>
    <n v="9"/>
    <n v="75"/>
    <n v="3"/>
    <x v="0"/>
    <s v="140/95"/>
    <n v="68"/>
    <x v="9"/>
    <s v="None"/>
  </r>
  <r>
    <n v="361"/>
    <x v="1"/>
    <x v="30"/>
    <s v="Nurse"/>
    <x v="26"/>
    <n v="9"/>
    <n v="75"/>
    <n v="3"/>
    <x v="0"/>
    <s v="140/95"/>
    <n v="68"/>
    <x v="9"/>
    <s v="Sleep Apnea"/>
  </r>
  <r>
    <n v="362"/>
    <x v="1"/>
    <x v="30"/>
    <s v="Nurse"/>
    <x v="26"/>
    <n v="9"/>
    <n v="75"/>
    <n v="3"/>
    <x v="0"/>
    <s v="140/95"/>
    <n v="68"/>
    <x v="9"/>
    <s v="Sleep Apnea"/>
  </r>
  <r>
    <n v="363"/>
    <x v="1"/>
    <x v="30"/>
    <s v="Nurse"/>
    <x v="26"/>
    <n v="9"/>
    <n v="75"/>
    <n v="3"/>
    <x v="0"/>
    <s v="140/95"/>
    <n v="68"/>
    <x v="9"/>
    <s v="Sleep Apnea"/>
  </r>
  <r>
    <n v="364"/>
    <x v="1"/>
    <x v="30"/>
    <s v="Nurse"/>
    <x v="26"/>
    <n v="9"/>
    <n v="75"/>
    <n v="3"/>
    <x v="0"/>
    <s v="140/95"/>
    <n v="68"/>
    <x v="9"/>
    <s v="Sleep Apnea"/>
  </r>
  <r>
    <n v="365"/>
    <x v="1"/>
    <x v="30"/>
    <s v="Nurse"/>
    <x v="20"/>
    <n v="9"/>
    <n v="75"/>
    <n v="3"/>
    <x v="0"/>
    <s v="140/95"/>
    <n v="68"/>
    <x v="9"/>
    <s v="Sleep Apnea"/>
  </r>
  <r>
    <n v="366"/>
    <x v="1"/>
    <x v="30"/>
    <s v="Nurse"/>
    <x v="20"/>
    <n v="9"/>
    <n v="75"/>
    <n v="3"/>
    <x v="0"/>
    <s v="140/95"/>
    <n v="68"/>
    <x v="9"/>
    <s v="Sleep Apnea"/>
  </r>
  <r>
    <n v="367"/>
    <x v="1"/>
    <x v="30"/>
    <s v="Nurse"/>
    <x v="22"/>
    <n v="9"/>
    <n v="75"/>
    <n v="3"/>
    <x v="0"/>
    <s v="140/95"/>
    <n v="68"/>
    <x v="9"/>
    <s v="Sleep Apnea"/>
  </r>
  <r>
    <n v="368"/>
    <x v="1"/>
    <x v="30"/>
    <s v="Nurse"/>
    <x v="20"/>
    <n v="9"/>
    <n v="75"/>
    <n v="3"/>
    <x v="0"/>
    <s v="140/95"/>
    <n v="68"/>
    <x v="9"/>
    <s v="Sleep Apnea"/>
  </r>
  <r>
    <n v="369"/>
    <x v="1"/>
    <x v="30"/>
    <s v="Nurse"/>
    <x v="22"/>
    <n v="9"/>
    <n v="75"/>
    <n v="3"/>
    <x v="0"/>
    <s v="140/95"/>
    <n v="68"/>
    <x v="9"/>
    <s v="Sleep Apnea"/>
  </r>
  <r>
    <n v="370"/>
    <x v="1"/>
    <x v="30"/>
    <s v="Nurse"/>
    <x v="22"/>
    <n v="9"/>
    <n v="75"/>
    <n v="3"/>
    <x v="0"/>
    <s v="140/95"/>
    <n v="68"/>
    <x v="9"/>
    <s v="Sleep Apnea"/>
  </r>
  <r>
    <n v="371"/>
    <x v="1"/>
    <x v="30"/>
    <s v="Nurse"/>
    <x v="20"/>
    <n v="9"/>
    <n v="75"/>
    <n v="3"/>
    <x v="0"/>
    <s v="140/95"/>
    <n v="68"/>
    <x v="9"/>
    <s v="Sleep Apnea"/>
  </r>
  <r>
    <n v="372"/>
    <x v="1"/>
    <x v="30"/>
    <s v="Nurse"/>
    <x v="22"/>
    <n v="9"/>
    <n v="75"/>
    <n v="3"/>
    <x v="0"/>
    <s v="140/95"/>
    <n v="68"/>
    <x v="9"/>
    <s v="Sleep Apnea"/>
  </r>
  <r>
    <n v="373"/>
    <x v="1"/>
    <x v="30"/>
    <s v="Nurse"/>
    <x v="22"/>
    <n v="9"/>
    <n v="75"/>
    <n v="3"/>
    <x v="0"/>
    <s v="140/95"/>
    <n v="68"/>
    <x v="9"/>
    <s v="Sleep Apnea"/>
  </r>
  <r>
    <n v="374"/>
    <x v="1"/>
    <x v="30"/>
    <s v="Nurse"/>
    <x v="22"/>
    <n v="9"/>
    <n v="75"/>
    <n v="3"/>
    <x v="0"/>
    <s v="140/95"/>
    <n v="68"/>
    <x v="9"/>
    <s v="Sleep Apne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x v="0"/>
    <x v="0"/>
    <n v="27"/>
    <x v="0"/>
    <x v="0"/>
    <x v="0"/>
    <x v="0"/>
    <x v="0"/>
    <x v="0"/>
    <x v="0"/>
    <x v="0"/>
    <x v="0"/>
    <x v="0"/>
  </r>
  <r>
    <x v="1"/>
    <x v="0"/>
    <n v="28"/>
    <x v="1"/>
    <x v="1"/>
    <x v="0"/>
    <x v="1"/>
    <x v="1"/>
    <x v="1"/>
    <x v="1"/>
    <x v="1"/>
    <x v="1"/>
    <x v="0"/>
  </r>
  <r>
    <x v="2"/>
    <x v="0"/>
    <n v="28"/>
    <x v="1"/>
    <x v="1"/>
    <x v="0"/>
    <x v="1"/>
    <x v="1"/>
    <x v="1"/>
    <x v="1"/>
    <x v="1"/>
    <x v="1"/>
    <x v="0"/>
  </r>
  <r>
    <x v="3"/>
    <x v="0"/>
    <n v="28"/>
    <x v="2"/>
    <x v="2"/>
    <x v="1"/>
    <x v="2"/>
    <x v="1"/>
    <x v="2"/>
    <x v="2"/>
    <x v="2"/>
    <x v="2"/>
    <x v="1"/>
  </r>
  <r>
    <x v="4"/>
    <x v="0"/>
    <n v="28"/>
    <x v="2"/>
    <x v="2"/>
    <x v="1"/>
    <x v="2"/>
    <x v="1"/>
    <x v="2"/>
    <x v="2"/>
    <x v="2"/>
    <x v="2"/>
    <x v="1"/>
  </r>
  <r>
    <x v="5"/>
    <x v="0"/>
    <n v="28"/>
    <x v="0"/>
    <x v="2"/>
    <x v="1"/>
    <x v="2"/>
    <x v="1"/>
    <x v="2"/>
    <x v="2"/>
    <x v="2"/>
    <x v="2"/>
    <x v="2"/>
  </r>
  <r>
    <x v="6"/>
    <x v="0"/>
    <n v="29"/>
    <x v="3"/>
    <x v="3"/>
    <x v="0"/>
    <x v="3"/>
    <x v="2"/>
    <x v="2"/>
    <x v="2"/>
    <x v="3"/>
    <x v="3"/>
    <x v="2"/>
  </r>
  <r>
    <x v="7"/>
    <x v="0"/>
    <n v="29"/>
    <x v="1"/>
    <x v="4"/>
    <x v="2"/>
    <x v="4"/>
    <x v="0"/>
    <x v="1"/>
    <x v="3"/>
    <x v="4"/>
    <x v="4"/>
    <x v="0"/>
  </r>
  <r>
    <x v="8"/>
    <x v="0"/>
    <n v="29"/>
    <x v="1"/>
    <x v="4"/>
    <x v="2"/>
    <x v="4"/>
    <x v="0"/>
    <x v="1"/>
    <x v="3"/>
    <x v="4"/>
    <x v="4"/>
    <x v="0"/>
  </r>
  <r>
    <x v="9"/>
    <x v="0"/>
    <n v="29"/>
    <x v="1"/>
    <x v="4"/>
    <x v="2"/>
    <x v="4"/>
    <x v="0"/>
    <x v="1"/>
    <x v="3"/>
    <x v="4"/>
    <x v="4"/>
    <x v="0"/>
  </r>
  <r>
    <x v="10"/>
    <x v="0"/>
    <n v="29"/>
    <x v="1"/>
    <x v="0"/>
    <x v="0"/>
    <x v="2"/>
    <x v="1"/>
    <x v="1"/>
    <x v="3"/>
    <x v="4"/>
    <x v="4"/>
    <x v="0"/>
  </r>
  <r>
    <x v="11"/>
    <x v="0"/>
    <n v="29"/>
    <x v="1"/>
    <x v="4"/>
    <x v="2"/>
    <x v="4"/>
    <x v="0"/>
    <x v="1"/>
    <x v="3"/>
    <x v="4"/>
    <x v="4"/>
    <x v="0"/>
  </r>
  <r>
    <x v="12"/>
    <x v="0"/>
    <n v="29"/>
    <x v="1"/>
    <x v="0"/>
    <x v="0"/>
    <x v="2"/>
    <x v="1"/>
    <x v="1"/>
    <x v="3"/>
    <x v="4"/>
    <x v="4"/>
    <x v="0"/>
  </r>
  <r>
    <x v="13"/>
    <x v="0"/>
    <n v="29"/>
    <x v="1"/>
    <x v="5"/>
    <x v="0"/>
    <x v="2"/>
    <x v="1"/>
    <x v="1"/>
    <x v="3"/>
    <x v="4"/>
    <x v="4"/>
    <x v="0"/>
  </r>
  <r>
    <x v="14"/>
    <x v="0"/>
    <n v="29"/>
    <x v="1"/>
    <x v="5"/>
    <x v="0"/>
    <x v="2"/>
    <x v="1"/>
    <x v="1"/>
    <x v="3"/>
    <x v="4"/>
    <x v="4"/>
    <x v="0"/>
  </r>
  <r>
    <x v="15"/>
    <x v="0"/>
    <n v="29"/>
    <x v="1"/>
    <x v="5"/>
    <x v="0"/>
    <x v="2"/>
    <x v="1"/>
    <x v="1"/>
    <x v="3"/>
    <x v="4"/>
    <x v="4"/>
    <x v="0"/>
  </r>
  <r>
    <x v="16"/>
    <x v="1"/>
    <n v="29"/>
    <x v="4"/>
    <x v="6"/>
    <x v="3"/>
    <x v="3"/>
    <x v="2"/>
    <x v="3"/>
    <x v="4"/>
    <x v="5"/>
    <x v="5"/>
    <x v="1"/>
  </r>
  <r>
    <x v="17"/>
    <x v="0"/>
    <n v="29"/>
    <x v="1"/>
    <x v="5"/>
    <x v="0"/>
    <x v="2"/>
    <x v="1"/>
    <x v="1"/>
    <x v="3"/>
    <x v="4"/>
    <x v="4"/>
    <x v="1"/>
  </r>
  <r>
    <x v="18"/>
    <x v="1"/>
    <n v="29"/>
    <x v="4"/>
    <x v="6"/>
    <x v="3"/>
    <x v="3"/>
    <x v="2"/>
    <x v="3"/>
    <x v="4"/>
    <x v="5"/>
    <x v="5"/>
    <x v="2"/>
  </r>
  <r>
    <x v="19"/>
    <x v="0"/>
    <n v="30"/>
    <x v="1"/>
    <x v="7"/>
    <x v="2"/>
    <x v="4"/>
    <x v="0"/>
    <x v="1"/>
    <x v="3"/>
    <x v="4"/>
    <x v="4"/>
    <x v="0"/>
  </r>
  <r>
    <x v="20"/>
    <x v="0"/>
    <n v="30"/>
    <x v="1"/>
    <x v="8"/>
    <x v="2"/>
    <x v="4"/>
    <x v="0"/>
    <x v="1"/>
    <x v="3"/>
    <x v="4"/>
    <x v="4"/>
    <x v="0"/>
  </r>
  <r>
    <x v="21"/>
    <x v="0"/>
    <n v="30"/>
    <x v="1"/>
    <x v="8"/>
    <x v="2"/>
    <x v="4"/>
    <x v="0"/>
    <x v="1"/>
    <x v="3"/>
    <x v="4"/>
    <x v="4"/>
    <x v="0"/>
  </r>
  <r>
    <x v="22"/>
    <x v="0"/>
    <n v="30"/>
    <x v="1"/>
    <x v="8"/>
    <x v="2"/>
    <x v="4"/>
    <x v="0"/>
    <x v="1"/>
    <x v="3"/>
    <x v="4"/>
    <x v="4"/>
    <x v="0"/>
  </r>
  <r>
    <x v="23"/>
    <x v="0"/>
    <n v="30"/>
    <x v="1"/>
    <x v="8"/>
    <x v="2"/>
    <x v="4"/>
    <x v="0"/>
    <x v="1"/>
    <x v="3"/>
    <x v="4"/>
    <x v="4"/>
    <x v="0"/>
  </r>
  <r>
    <x v="24"/>
    <x v="0"/>
    <n v="30"/>
    <x v="1"/>
    <x v="4"/>
    <x v="2"/>
    <x v="4"/>
    <x v="0"/>
    <x v="1"/>
    <x v="3"/>
    <x v="4"/>
    <x v="4"/>
    <x v="0"/>
  </r>
  <r>
    <x v="25"/>
    <x v="0"/>
    <n v="30"/>
    <x v="1"/>
    <x v="9"/>
    <x v="2"/>
    <x v="4"/>
    <x v="0"/>
    <x v="1"/>
    <x v="3"/>
    <x v="4"/>
    <x v="4"/>
    <x v="0"/>
  </r>
  <r>
    <x v="26"/>
    <x v="0"/>
    <n v="30"/>
    <x v="1"/>
    <x v="4"/>
    <x v="2"/>
    <x v="4"/>
    <x v="0"/>
    <x v="1"/>
    <x v="3"/>
    <x v="4"/>
    <x v="4"/>
    <x v="0"/>
  </r>
  <r>
    <x v="27"/>
    <x v="0"/>
    <n v="30"/>
    <x v="1"/>
    <x v="9"/>
    <x v="2"/>
    <x v="4"/>
    <x v="0"/>
    <x v="1"/>
    <x v="3"/>
    <x v="4"/>
    <x v="4"/>
    <x v="0"/>
  </r>
  <r>
    <x v="28"/>
    <x v="0"/>
    <n v="30"/>
    <x v="1"/>
    <x v="9"/>
    <x v="2"/>
    <x v="4"/>
    <x v="0"/>
    <x v="1"/>
    <x v="3"/>
    <x v="4"/>
    <x v="4"/>
    <x v="0"/>
  </r>
  <r>
    <x v="29"/>
    <x v="0"/>
    <n v="30"/>
    <x v="1"/>
    <x v="9"/>
    <x v="2"/>
    <x v="4"/>
    <x v="0"/>
    <x v="1"/>
    <x v="3"/>
    <x v="4"/>
    <x v="4"/>
    <x v="0"/>
  </r>
  <r>
    <x v="30"/>
    <x v="1"/>
    <n v="30"/>
    <x v="4"/>
    <x v="10"/>
    <x v="3"/>
    <x v="5"/>
    <x v="2"/>
    <x v="3"/>
    <x v="5"/>
    <x v="6"/>
    <x v="6"/>
    <x v="1"/>
  </r>
  <r>
    <x v="31"/>
    <x v="1"/>
    <n v="30"/>
    <x v="4"/>
    <x v="10"/>
    <x v="3"/>
    <x v="5"/>
    <x v="2"/>
    <x v="3"/>
    <x v="5"/>
    <x v="6"/>
    <x v="6"/>
    <x v="2"/>
  </r>
  <r>
    <x v="32"/>
    <x v="1"/>
    <n v="31"/>
    <x v="4"/>
    <x v="9"/>
    <x v="4"/>
    <x v="4"/>
    <x v="3"/>
    <x v="3"/>
    <x v="6"/>
    <x v="7"/>
    <x v="7"/>
    <x v="0"/>
  </r>
  <r>
    <x v="33"/>
    <x v="0"/>
    <n v="31"/>
    <x v="1"/>
    <x v="0"/>
    <x v="0"/>
    <x v="2"/>
    <x v="1"/>
    <x v="1"/>
    <x v="1"/>
    <x v="8"/>
    <x v="8"/>
    <x v="0"/>
  </r>
  <r>
    <x v="34"/>
    <x v="0"/>
    <n v="31"/>
    <x v="1"/>
    <x v="8"/>
    <x v="2"/>
    <x v="4"/>
    <x v="0"/>
    <x v="1"/>
    <x v="3"/>
    <x v="4"/>
    <x v="4"/>
    <x v="0"/>
  </r>
  <r>
    <x v="35"/>
    <x v="0"/>
    <n v="31"/>
    <x v="1"/>
    <x v="0"/>
    <x v="0"/>
    <x v="2"/>
    <x v="1"/>
    <x v="1"/>
    <x v="1"/>
    <x v="8"/>
    <x v="8"/>
    <x v="0"/>
  </r>
  <r>
    <x v="36"/>
    <x v="0"/>
    <n v="31"/>
    <x v="1"/>
    <x v="0"/>
    <x v="0"/>
    <x v="2"/>
    <x v="1"/>
    <x v="1"/>
    <x v="1"/>
    <x v="8"/>
    <x v="8"/>
    <x v="0"/>
  </r>
  <r>
    <x v="37"/>
    <x v="0"/>
    <n v="31"/>
    <x v="1"/>
    <x v="7"/>
    <x v="2"/>
    <x v="4"/>
    <x v="0"/>
    <x v="1"/>
    <x v="3"/>
    <x v="4"/>
    <x v="4"/>
    <x v="0"/>
  </r>
  <r>
    <x v="38"/>
    <x v="0"/>
    <n v="31"/>
    <x v="1"/>
    <x v="7"/>
    <x v="2"/>
    <x v="4"/>
    <x v="0"/>
    <x v="1"/>
    <x v="3"/>
    <x v="4"/>
    <x v="4"/>
    <x v="0"/>
  </r>
  <r>
    <x v="39"/>
    <x v="0"/>
    <n v="31"/>
    <x v="1"/>
    <x v="7"/>
    <x v="2"/>
    <x v="4"/>
    <x v="0"/>
    <x v="1"/>
    <x v="3"/>
    <x v="4"/>
    <x v="4"/>
    <x v="0"/>
  </r>
  <r>
    <x v="40"/>
    <x v="0"/>
    <n v="31"/>
    <x v="1"/>
    <x v="8"/>
    <x v="2"/>
    <x v="4"/>
    <x v="0"/>
    <x v="1"/>
    <x v="3"/>
    <x v="4"/>
    <x v="4"/>
    <x v="0"/>
  </r>
  <r>
    <x v="41"/>
    <x v="0"/>
    <n v="31"/>
    <x v="1"/>
    <x v="8"/>
    <x v="2"/>
    <x v="4"/>
    <x v="0"/>
    <x v="1"/>
    <x v="3"/>
    <x v="4"/>
    <x v="4"/>
    <x v="0"/>
  </r>
  <r>
    <x v="42"/>
    <x v="0"/>
    <n v="31"/>
    <x v="1"/>
    <x v="8"/>
    <x v="2"/>
    <x v="4"/>
    <x v="0"/>
    <x v="1"/>
    <x v="3"/>
    <x v="4"/>
    <x v="4"/>
    <x v="0"/>
  </r>
  <r>
    <x v="43"/>
    <x v="0"/>
    <n v="31"/>
    <x v="1"/>
    <x v="4"/>
    <x v="2"/>
    <x v="4"/>
    <x v="0"/>
    <x v="1"/>
    <x v="3"/>
    <x v="4"/>
    <x v="4"/>
    <x v="0"/>
  </r>
  <r>
    <x v="44"/>
    <x v="0"/>
    <n v="31"/>
    <x v="1"/>
    <x v="8"/>
    <x v="2"/>
    <x v="4"/>
    <x v="0"/>
    <x v="1"/>
    <x v="3"/>
    <x v="4"/>
    <x v="4"/>
    <x v="0"/>
  </r>
  <r>
    <x v="45"/>
    <x v="0"/>
    <n v="31"/>
    <x v="1"/>
    <x v="4"/>
    <x v="2"/>
    <x v="4"/>
    <x v="0"/>
    <x v="1"/>
    <x v="3"/>
    <x v="4"/>
    <x v="4"/>
    <x v="0"/>
  </r>
  <r>
    <x v="46"/>
    <x v="0"/>
    <n v="31"/>
    <x v="1"/>
    <x v="8"/>
    <x v="2"/>
    <x v="4"/>
    <x v="0"/>
    <x v="1"/>
    <x v="3"/>
    <x v="4"/>
    <x v="4"/>
    <x v="0"/>
  </r>
  <r>
    <x v="47"/>
    <x v="0"/>
    <n v="31"/>
    <x v="1"/>
    <x v="4"/>
    <x v="2"/>
    <x v="4"/>
    <x v="0"/>
    <x v="1"/>
    <x v="3"/>
    <x v="4"/>
    <x v="4"/>
    <x v="0"/>
  </r>
  <r>
    <x v="48"/>
    <x v="0"/>
    <n v="31"/>
    <x v="1"/>
    <x v="8"/>
    <x v="2"/>
    <x v="4"/>
    <x v="0"/>
    <x v="1"/>
    <x v="3"/>
    <x v="4"/>
    <x v="4"/>
    <x v="0"/>
  </r>
  <r>
    <x v="49"/>
    <x v="0"/>
    <n v="31"/>
    <x v="1"/>
    <x v="8"/>
    <x v="2"/>
    <x v="4"/>
    <x v="0"/>
    <x v="1"/>
    <x v="3"/>
    <x v="4"/>
    <x v="4"/>
    <x v="1"/>
  </r>
  <r>
    <x v="50"/>
    <x v="0"/>
    <n v="32"/>
    <x v="5"/>
    <x v="11"/>
    <x v="4"/>
    <x v="6"/>
    <x v="4"/>
    <x v="1"/>
    <x v="3"/>
    <x v="4"/>
    <x v="4"/>
    <x v="0"/>
  </r>
  <r>
    <x v="51"/>
    <x v="0"/>
    <n v="32"/>
    <x v="5"/>
    <x v="11"/>
    <x v="4"/>
    <x v="6"/>
    <x v="4"/>
    <x v="1"/>
    <x v="3"/>
    <x v="4"/>
    <x v="4"/>
    <x v="0"/>
  </r>
  <r>
    <x v="52"/>
    <x v="0"/>
    <n v="32"/>
    <x v="1"/>
    <x v="5"/>
    <x v="0"/>
    <x v="2"/>
    <x v="1"/>
    <x v="1"/>
    <x v="1"/>
    <x v="8"/>
    <x v="8"/>
    <x v="0"/>
  </r>
  <r>
    <x v="53"/>
    <x v="0"/>
    <n v="32"/>
    <x v="1"/>
    <x v="7"/>
    <x v="2"/>
    <x v="4"/>
    <x v="0"/>
    <x v="1"/>
    <x v="3"/>
    <x v="4"/>
    <x v="4"/>
    <x v="0"/>
  </r>
  <r>
    <x v="54"/>
    <x v="0"/>
    <n v="32"/>
    <x v="1"/>
    <x v="5"/>
    <x v="0"/>
    <x v="2"/>
    <x v="1"/>
    <x v="1"/>
    <x v="1"/>
    <x v="8"/>
    <x v="8"/>
    <x v="0"/>
  </r>
  <r>
    <x v="55"/>
    <x v="0"/>
    <n v="32"/>
    <x v="1"/>
    <x v="5"/>
    <x v="0"/>
    <x v="2"/>
    <x v="1"/>
    <x v="1"/>
    <x v="1"/>
    <x v="8"/>
    <x v="8"/>
    <x v="0"/>
  </r>
  <r>
    <x v="56"/>
    <x v="0"/>
    <n v="32"/>
    <x v="1"/>
    <x v="8"/>
    <x v="2"/>
    <x v="4"/>
    <x v="0"/>
    <x v="1"/>
    <x v="3"/>
    <x v="4"/>
    <x v="4"/>
    <x v="0"/>
  </r>
  <r>
    <x v="57"/>
    <x v="0"/>
    <n v="32"/>
    <x v="1"/>
    <x v="5"/>
    <x v="0"/>
    <x v="2"/>
    <x v="1"/>
    <x v="1"/>
    <x v="1"/>
    <x v="8"/>
    <x v="8"/>
    <x v="0"/>
  </r>
  <r>
    <x v="58"/>
    <x v="0"/>
    <n v="32"/>
    <x v="1"/>
    <x v="5"/>
    <x v="0"/>
    <x v="2"/>
    <x v="1"/>
    <x v="1"/>
    <x v="1"/>
    <x v="8"/>
    <x v="8"/>
    <x v="0"/>
  </r>
  <r>
    <x v="59"/>
    <x v="0"/>
    <n v="32"/>
    <x v="1"/>
    <x v="8"/>
    <x v="2"/>
    <x v="4"/>
    <x v="0"/>
    <x v="1"/>
    <x v="3"/>
    <x v="4"/>
    <x v="4"/>
    <x v="0"/>
  </r>
  <r>
    <x v="60"/>
    <x v="0"/>
    <n v="32"/>
    <x v="1"/>
    <x v="5"/>
    <x v="0"/>
    <x v="2"/>
    <x v="1"/>
    <x v="1"/>
    <x v="1"/>
    <x v="8"/>
    <x v="8"/>
    <x v="0"/>
  </r>
  <r>
    <x v="61"/>
    <x v="0"/>
    <n v="32"/>
    <x v="1"/>
    <x v="5"/>
    <x v="0"/>
    <x v="2"/>
    <x v="1"/>
    <x v="1"/>
    <x v="1"/>
    <x v="8"/>
    <x v="8"/>
    <x v="0"/>
  </r>
  <r>
    <x v="62"/>
    <x v="0"/>
    <n v="32"/>
    <x v="1"/>
    <x v="1"/>
    <x v="0"/>
    <x v="2"/>
    <x v="1"/>
    <x v="1"/>
    <x v="1"/>
    <x v="8"/>
    <x v="8"/>
    <x v="0"/>
  </r>
  <r>
    <x v="63"/>
    <x v="0"/>
    <n v="32"/>
    <x v="1"/>
    <x v="1"/>
    <x v="0"/>
    <x v="2"/>
    <x v="1"/>
    <x v="1"/>
    <x v="1"/>
    <x v="8"/>
    <x v="8"/>
    <x v="0"/>
  </r>
  <r>
    <x v="64"/>
    <x v="0"/>
    <n v="32"/>
    <x v="1"/>
    <x v="1"/>
    <x v="0"/>
    <x v="2"/>
    <x v="1"/>
    <x v="1"/>
    <x v="1"/>
    <x v="8"/>
    <x v="8"/>
    <x v="0"/>
  </r>
  <r>
    <x v="65"/>
    <x v="0"/>
    <n v="32"/>
    <x v="1"/>
    <x v="1"/>
    <x v="0"/>
    <x v="2"/>
    <x v="1"/>
    <x v="1"/>
    <x v="1"/>
    <x v="8"/>
    <x v="8"/>
    <x v="0"/>
  </r>
  <r>
    <x v="66"/>
    <x v="0"/>
    <n v="32"/>
    <x v="6"/>
    <x v="12"/>
    <x v="4"/>
    <x v="7"/>
    <x v="0"/>
    <x v="3"/>
    <x v="7"/>
    <x v="9"/>
    <x v="9"/>
    <x v="0"/>
  </r>
  <r>
    <x v="67"/>
    <x v="0"/>
    <n v="33"/>
    <x v="1"/>
    <x v="5"/>
    <x v="0"/>
    <x v="2"/>
    <x v="1"/>
    <x v="1"/>
    <x v="1"/>
    <x v="8"/>
    <x v="8"/>
    <x v="2"/>
  </r>
  <r>
    <x v="68"/>
    <x v="1"/>
    <n v="33"/>
    <x v="7"/>
    <x v="1"/>
    <x v="0"/>
    <x v="7"/>
    <x v="0"/>
    <x v="0"/>
    <x v="8"/>
    <x v="10"/>
    <x v="10"/>
    <x v="0"/>
  </r>
  <r>
    <x v="69"/>
    <x v="1"/>
    <n v="33"/>
    <x v="7"/>
    <x v="1"/>
    <x v="0"/>
    <x v="7"/>
    <x v="0"/>
    <x v="0"/>
    <x v="8"/>
    <x v="10"/>
    <x v="10"/>
    <x v="0"/>
  </r>
  <r>
    <x v="70"/>
    <x v="0"/>
    <n v="33"/>
    <x v="1"/>
    <x v="0"/>
    <x v="0"/>
    <x v="2"/>
    <x v="1"/>
    <x v="1"/>
    <x v="1"/>
    <x v="8"/>
    <x v="8"/>
    <x v="0"/>
  </r>
  <r>
    <x v="71"/>
    <x v="0"/>
    <n v="33"/>
    <x v="1"/>
    <x v="0"/>
    <x v="0"/>
    <x v="2"/>
    <x v="1"/>
    <x v="1"/>
    <x v="1"/>
    <x v="8"/>
    <x v="8"/>
    <x v="0"/>
  </r>
  <r>
    <x v="72"/>
    <x v="0"/>
    <n v="33"/>
    <x v="1"/>
    <x v="0"/>
    <x v="0"/>
    <x v="2"/>
    <x v="1"/>
    <x v="1"/>
    <x v="1"/>
    <x v="8"/>
    <x v="8"/>
    <x v="0"/>
  </r>
  <r>
    <x v="73"/>
    <x v="0"/>
    <n v="33"/>
    <x v="1"/>
    <x v="0"/>
    <x v="0"/>
    <x v="2"/>
    <x v="1"/>
    <x v="1"/>
    <x v="1"/>
    <x v="8"/>
    <x v="8"/>
    <x v="0"/>
  </r>
  <r>
    <x v="74"/>
    <x v="0"/>
    <n v="33"/>
    <x v="1"/>
    <x v="5"/>
    <x v="0"/>
    <x v="2"/>
    <x v="1"/>
    <x v="1"/>
    <x v="1"/>
    <x v="8"/>
    <x v="8"/>
    <x v="0"/>
  </r>
  <r>
    <x v="75"/>
    <x v="0"/>
    <n v="33"/>
    <x v="1"/>
    <x v="5"/>
    <x v="0"/>
    <x v="2"/>
    <x v="1"/>
    <x v="1"/>
    <x v="1"/>
    <x v="8"/>
    <x v="8"/>
    <x v="0"/>
  </r>
  <r>
    <x v="76"/>
    <x v="0"/>
    <n v="33"/>
    <x v="1"/>
    <x v="5"/>
    <x v="0"/>
    <x v="2"/>
    <x v="1"/>
    <x v="1"/>
    <x v="1"/>
    <x v="8"/>
    <x v="8"/>
    <x v="0"/>
  </r>
  <r>
    <x v="77"/>
    <x v="0"/>
    <n v="33"/>
    <x v="1"/>
    <x v="5"/>
    <x v="0"/>
    <x v="2"/>
    <x v="1"/>
    <x v="1"/>
    <x v="1"/>
    <x v="8"/>
    <x v="8"/>
    <x v="0"/>
  </r>
  <r>
    <x v="78"/>
    <x v="0"/>
    <n v="33"/>
    <x v="1"/>
    <x v="5"/>
    <x v="0"/>
    <x v="2"/>
    <x v="1"/>
    <x v="1"/>
    <x v="1"/>
    <x v="8"/>
    <x v="8"/>
    <x v="0"/>
  </r>
  <r>
    <x v="79"/>
    <x v="0"/>
    <n v="33"/>
    <x v="1"/>
    <x v="5"/>
    <x v="0"/>
    <x v="2"/>
    <x v="1"/>
    <x v="1"/>
    <x v="1"/>
    <x v="8"/>
    <x v="8"/>
    <x v="0"/>
  </r>
  <r>
    <x v="80"/>
    <x v="1"/>
    <n v="34"/>
    <x v="7"/>
    <x v="13"/>
    <x v="1"/>
    <x v="8"/>
    <x v="1"/>
    <x v="0"/>
    <x v="9"/>
    <x v="11"/>
    <x v="11"/>
    <x v="1"/>
  </r>
  <r>
    <x v="81"/>
    <x v="1"/>
    <n v="34"/>
    <x v="7"/>
    <x v="13"/>
    <x v="1"/>
    <x v="8"/>
    <x v="1"/>
    <x v="0"/>
    <x v="9"/>
    <x v="11"/>
    <x v="11"/>
    <x v="1"/>
  </r>
  <r>
    <x v="82"/>
    <x v="0"/>
    <n v="35"/>
    <x v="3"/>
    <x v="14"/>
    <x v="2"/>
    <x v="3"/>
    <x v="5"/>
    <x v="0"/>
    <x v="10"/>
    <x v="4"/>
    <x v="12"/>
    <x v="0"/>
  </r>
  <r>
    <x v="83"/>
    <x v="0"/>
    <n v="35"/>
    <x v="3"/>
    <x v="14"/>
    <x v="2"/>
    <x v="3"/>
    <x v="5"/>
    <x v="0"/>
    <x v="10"/>
    <x v="4"/>
    <x v="12"/>
    <x v="0"/>
  </r>
  <r>
    <x v="84"/>
    <x v="0"/>
    <n v="35"/>
    <x v="0"/>
    <x v="11"/>
    <x v="4"/>
    <x v="1"/>
    <x v="5"/>
    <x v="3"/>
    <x v="3"/>
    <x v="4"/>
    <x v="4"/>
    <x v="0"/>
  </r>
  <r>
    <x v="85"/>
    <x v="1"/>
    <n v="35"/>
    <x v="6"/>
    <x v="12"/>
    <x v="4"/>
    <x v="1"/>
    <x v="3"/>
    <x v="1"/>
    <x v="11"/>
    <x v="9"/>
    <x v="9"/>
    <x v="0"/>
  </r>
  <r>
    <x v="86"/>
    <x v="0"/>
    <n v="35"/>
    <x v="5"/>
    <x v="12"/>
    <x v="4"/>
    <x v="1"/>
    <x v="3"/>
    <x v="1"/>
    <x v="1"/>
    <x v="12"/>
    <x v="8"/>
    <x v="0"/>
  </r>
  <r>
    <x v="87"/>
    <x v="0"/>
    <n v="35"/>
    <x v="5"/>
    <x v="12"/>
    <x v="4"/>
    <x v="1"/>
    <x v="3"/>
    <x v="1"/>
    <x v="1"/>
    <x v="12"/>
    <x v="8"/>
    <x v="0"/>
  </r>
  <r>
    <x v="88"/>
    <x v="0"/>
    <n v="35"/>
    <x v="5"/>
    <x v="15"/>
    <x v="4"/>
    <x v="1"/>
    <x v="3"/>
    <x v="1"/>
    <x v="1"/>
    <x v="12"/>
    <x v="8"/>
    <x v="0"/>
  </r>
  <r>
    <x v="89"/>
    <x v="0"/>
    <n v="35"/>
    <x v="5"/>
    <x v="15"/>
    <x v="4"/>
    <x v="1"/>
    <x v="3"/>
    <x v="1"/>
    <x v="1"/>
    <x v="12"/>
    <x v="8"/>
    <x v="0"/>
  </r>
  <r>
    <x v="90"/>
    <x v="0"/>
    <n v="35"/>
    <x v="5"/>
    <x v="15"/>
    <x v="4"/>
    <x v="1"/>
    <x v="3"/>
    <x v="1"/>
    <x v="1"/>
    <x v="12"/>
    <x v="8"/>
    <x v="0"/>
  </r>
  <r>
    <x v="91"/>
    <x v="0"/>
    <n v="35"/>
    <x v="5"/>
    <x v="15"/>
    <x v="4"/>
    <x v="1"/>
    <x v="3"/>
    <x v="1"/>
    <x v="1"/>
    <x v="12"/>
    <x v="8"/>
    <x v="0"/>
  </r>
  <r>
    <x v="92"/>
    <x v="0"/>
    <n v="35"/>
    <x v="0"/>
    <x v="11"/>
    <x v="4"/>
    <x v="1"/>
    <x v="5"/>
    <x v="3"/>
    <x v="3"/>
    <x v="4"/>
    <x v="4"/>
    <x v="0"/>
  </r>
  <r>
    <x v="93"/>
    <x v="0"/>
    <n v="35"/>
    <x v="8"/>
    <x v="16"/>
    <x v="2"/>
    <x v="1"/>
    <x v="5"/>
    <x v="2"/>
    <x v="12"/>
    <x v="13"/>
    <x v="13"/>
    <x v="1"/>
  </r>
  <r>
    <x v="94"/>
    <x v="1"/>
    <n v="36"/>
    <x v="6"/>
    <x v="12"/>
    <x v="4"/>
    <x v="1"/>
    <x v="3"/>
    <x v="1"/>
    <x v="11"/>
    <x v="9"/>
    <x v="9"/>
    <x v="2"/>
  </r>
  <r>
    <x v="95"/>
    <x v="1"/>
    <n v="36"/>
    <x v="6"/>
    <x v="17"/>
    <x v="4"/>
    <x v="1"/>
    <x v="3"/>
    <x v="1"/>
    <x v="11"/>
    <x v="9"/>
    <x v="9"/>
    <x v="0"/>
  </r>
  <r>
    <x v="96"/>
    <x v="1"/>
    <n v="36"/>
    <x v="6"/>
    <x v="12"/>
    <x v="4"/>
    <x v="1"/>
    <x v="3"/>
    <x v="1"/>
    <x v="11"/>
    <x v="9"/>
    <x v="9"/>
    <x v="0"/>
  </r>
  <r>
    <x v="97"/>
    <x v="1"/>
    <n v="36"/>
    <x v="6"/>
    <x v="17"/>
    <x v="4"/>
    <x v="1"/>
    <x v="3"/>
    <x v="1"/>
    <x v="11"/>
    <x v="9"/>
    <x v="9"/>
    <x v="0"/>
  </r>
  <r>
    <x v="98"/>
    <x v="1"/>
    <n v="36"/>
    <x v="3"/>
    <x v="17"/>
    <x v="4"/>
    <x v="1"/>
    <x v="3"/>
    <x v="1"/>
    <x v="11"/>
    <x v="9"/>
    <x v="9"/>
    <x v="0"/>
  </r>
  <r>
    <x v="99"/>
    <x v="1"/>
    <n v="36"/>
    <x v="3"/>
    <x v="17"/>
    <x v="4"/>
    <x v="1"/>
    <x v="3"/>
    <x v="1"/>
    <x v="11"/>
    <x v="9"/>
    <x v="9"/>
    <x v="0"/>
  </r>
  <r>
    <x v="100"/>
    <x v="1"/>
    <n v="36"/>
    <x v="3"/>
    <x v="12"/>
    <x v="4"/>
    <x v="1"/>
    <x v="3"/>
    <x v="1"/>
    <x v="11"/>
    <x v="9"/>
    <x v="9"/>
    <x v="0"/>
  </r>
  <r>
    <x v="101"/>
    <x v="1"/>
    <n v="36"/>
    <x v="3"/>
    <x v="12"/>
    <x v="4"/>
    <x v="1"/>
    <x v="3"/>
    <x v="1"/>
    <x v="11"/>
    <x v="9"/>
    <x v="9"/>
    <x v="0"/>
  </r>
  <r>
    <x v="102"/>
    <x v="1"/>
    <n v="36"/>
    <x v="3"/>
    <x v="12"/>
    <x v="4"/>
    <x v="1"/>
    <x v="3"/>
    <x v="1"/>
    <x v="11"/>
    <x v="9"/>
    <x v="9"/>
    <x v="0"/>
  </r>
  <r>
    <x v="103"/>
    <x v="0"/>
    <n v="36"/>
    <x v="3"/>
    <x v="18"/>
    <x v="3"/>
    <x v="5"/>
    <x v="2"/>
    <x v="0"/>
    <x v="13"/>
    <x v="14"/>
    <x v="14"/>
    <x v="1"/>
  </r>
  <r>
    <x v="104"/>
    <x v="1"/>
    <n v="36"/>
    <x v="3"/>
    <x v="12"/>
    <x v="4"/>
    <x v="1"/>
    <x v="3"/>
    <x v="1"/>
    <x v="11"/>
    <x v="9"/>
    <x v="9"/>
    <x v="1"/>
  </r>
  <r>
    <x v="105"/>
    <x v="0"/>
    <n v="36"/>
    <x v="3"/>
    <x v="18"/>
    <x v="3"/>
    <x v="5"/>
    <x v="2"/>
    <x v="0"/>
    <x v="13"/>
    <x v="14"/>
    <x v="14"/>
    <x v="2"/>
  </r>
  <r>
    <x v="106"/>
    <x v="1"/>
    <n v="37"/>
    <x v="4"/>
    <x v="0"/>
    <x v="0"/>
    <x v="0"/>
    <x v="0"/>
    <x v="0"/>
    <x v="0"/>
    <x v="0"/>
    <x v="0"/>
    <x v="0"/>
  </r>
  <r>
    <x v="107"/>
    <x v="0"/>
    <n v="37"/>
    <x v="5"/>
    <x v="4"/>
    <x v="4"/>
    <x v="9"/>
    <x v="3"/>
    <x v="3"/>
    <x v="3"/>
    <x v="9"/>
    <x v="9"/>
    <x v="0"/>
  </r>
  <r>
    <x v="108"/>
    <x v="0"/>
    <n v="37"/>
    <x v="5"/>
    <x v="4"/>
    <x v="4"/>
    <x v="9"/>
    <x v="3"/>
    <x v="3"/>
    <x v="3"/>
    <x v="9"/>
    <x v="9"/>
    <x v="0"/>
  </r>
  <r>
    <x v="109"/>
    <x v="0"/>
    <n v="37"/>
    <x v="8"/>
    <x v="16"/>
    <x v="4"/>
    <x v="1"/>
    <x v="5"/>
    <x v="1"/>
    <x v="14"/>
    <x v="9"/>
    <x v="4"/>
    <x v="0"/>
  </r>
  <r>
    <x v="110"/>
    <x v="1"/>
    <n v="37"/>
    <x v="6"/>
    <x v="12"/>
    <x v="4"/>
    <x v="1"/>
    <x v="3"/>
    <x v="1"/>
    <x v="11"/>
    <x v="9"/>
    <x v="9"/>
    <x v="0"/>
  </r>
  <r>
    <x v="111"/>
    <x v="0"/>
    <n v="37"/>
    <x v="8"/>
    <x v="16"/>
    <x v="4"/>
    <x v="1"/>
    <x v="5"/>
    <x v="1"/>
    <x v="14"/>
    <x v="9"/>
    <x v="4"/>
    <x v="0"/>
  </r>
  <r>
    <x v="112"/>
    <x v="1"/>
    <n v="37"/>
    <x v="6"/>
    <x v="12"/>
    <x v="4"/>
    <x v="1"/>
    <x v="3"/>
    <x v="1"/>
    <x v="11"/>
    <x v="9"/>
    <x v="9"/>
    <x v="0"/>
  </r>
  <r>
    <x v="113"/>
    <x v="0"/>
    <n v="37"/>
    <x v="8"/>
    <x v="16"/>
    <x v="4"/>
    <x v="1"/>
    <x v="5"/>
    <x v="1"/>
    <x v="14"/>
    <x v="9"/>
    <x v="4"/>
    <x v="0"/>
  </r>
  <r>
    <x v="114"/>
    <x v="1"/>
    <n v="37"/>
    <x v="6"/>
    <x v="12"/>
    <x v="4"/>
    <x v="1"/>
    <x v="3"/>
    <x v="1"/>
    <x v="11"/>
    <x v="9"/>
    <x v="9"/>
    <x v="0"/>
  </r>
  <r>
    <x v="115"/>
    <x v="1"/>
    <n v="37"/>
    <x v="6"/>
    <x v="12"/>
    <x v="4"/>
    <x v="1"/>
    <x v="3"/>
    <x v="1"/>
    <x v="11"/>
    <x v="9"/>
    <x v="9"/>
    <x v="0"/>
  </r>
  <r>
    <x v="116"/>
    <x v="1"/>
    <n v="37"/>
    <x v="6"/>
    <x v="12"/>
    <x v="4"/>
    <x v="1"/>
    <x v="3"/>
    <x v="1"/>
    <x v="11"/>
    <x v="9"/>
    <x v="9"/>
    <x v="0"/>
  </r>
  <r>
    <x v="117"/>
    <x v="1"/>
    <n v="37"/>
    <x v="6"/>
    <x v="12"/>
    <x v="4"/>
    <x v="1"/>
    <x v="3"/>
    <x v="1"/>
    <x v="11"/>
    <x v="9"/>
    <x v="9"/>
    <x v="0"/>
  </r>
  <r>
    <x v="118"/>
    <x v="1"/>
    <n v="37"/>
    <x v="6"/>
    <x v="12"/>
    <x v="4"/>
    <x v="1"/>
    <x v="3"/>
    <x v="1"/>
    <x v="11"/>
    <x v="9"/>
    <x v="9"/>
    <x v="0"/>
  </r>
  <r>
    <x v="119"/>
    <x v="1"/>
    <n v="37"/>
    <x v="6"/>
    <x v="12"/>
    <x v="4"/>
    <x v="1"/>
    <x v="3"/>
    <x v="1"/>
    <x v="11"/>
    <x v="9"/>
    <x v="9"/>
    <x v="0"/>
  </r>
  <r>
    <x v="120"/>
    <x v="1"/>
    <n v="37"/>
    <x v="6"/>
    <x v="12"/>
    <x v="4"/>
    <x v="1"/>
    <x v="3"/>
    <x v="1"/>
    <x v="11"/>
    <x v="9"/>
    <x v="9"/>
    <x v="0"/>
  </r>
  <r>
    <x v="121"/>
    <x v="1"/>
    <n v="37"/>
    <x v="6"/>
    <x v="12"/>
    <x v="4"/>
    <x v="1"/>
    <x v="3"/>
    <x v="1"/>
    <x v="11"/>
    <x v="9"/>
    <x v="9"/>
    <x v="0"/>
  </r>
  <r>
    <x v="122"/>
    <x v="1"/>
    <n v="37"/>
    <x v="6"/>
    <x v="12"/>
    <x v="4"/>
    <x v="1"/>
    <x v="3"/>
    <x v="1"/>
    <x v="11"/>
    <x v="9"/>
    <x v="9"/>
    <x v="0"/>
  </r>
  <r>
    <x v="123"/>
    <x v="1"/>
    <n v="37"/>
    <x v="6"/>
    <x v="12"/>
    <x v="4"/>
    <x v="1"/>
    <x v="3"/>
    <x v="1"/>
    <x v="11"/>
    <x v="9"/>
    <x v="9"/>
    <x v="0"/>
  </r>
  <r>
    <x v="124"/>
    <x v="1"/>
    <n v="37"/>
    <x v="6"/>
    <x v="12"/>
    <x v="4"/>
    <x v="1"/>
    <x v="3"/>
    <x v="1"/>
    <x v="11"/>
    <x v="9"/>
    <x v="9"/>
    <x v="0"/>
  </r>
  <r>
    <x v="125"/>
    <x v="1"/>
    <n v="37"/>
    <x v="4"/>
    <x v="11"/>
    <x v="4"/>
    <x v="1"/>
    <x v="3"/>
    <x v="3"/>
    <x v="3"/>
    <x v="4"/>
    <x v="4"/>
    <x v="0"/>
  </r>
  <r>
    <x v="126"/>
    <x v="0"/>
    <n v="38"/>
    <x v="8"/>
    <x v="15"/>
    <x v="4"/>
    <x v="1"/>
    <x v="5"/>
    <x v="1"/>
    <x v="14"/>
    <x v="9"/>
    <x v="4"/>
    <x v="0"/>
  </r>
  <r>
    <x v="127"/>
    <x v="1"/>
    <n v="38"/>
    <x v="6"/>
    <x v="17"/>
    <x v="4"/>
    <x v="1"/>
    <x v="3"/>
    <x v="1"/>
    <x v="11"/>
    <x v="9"/>
    <x v="9"/>
    <x v="0"/>
  </r>
  <r>
    <x v="128"/>
    <x v="0"/>
    <n v="38"/>
    <x v="8"/>
    <x v="15"/>
    <x v="4"/>
    <x v="1"/>
    <x v="5"/>
    <x v="1"/>
    <x v="14"/>
    <x v="9"/>
    <x v="4"/>
    <x v="0"/>
  </r>
  <r>
    <x v="129"/>
    <x v="0"/>
    <n v="38"/>
    <x v="8"/>
    <x v="15"/>
    <x v="4"/>
    <x v="1"/>
    <x v="5"/>
    <x v="1"/>
    <x v="14"/>
    <x v="9"/>
    <x v="4"/>
    <x v="0"/>
  </r>
  <r>
    <x v="130"/>
    <x v="1"/>
    <n v="38"/>
    <x v="6"/>
    <x v="17"/>
    <x v="4"/>
    <x v="1"/>
    <x v="3"/>
    <x v="1"/>
    <x v="11"/>
    <x v="9"/>
    <x v="9"/>
    <x v="0"/>
  </r>
  <r>
    <x v="131"/>
    <x v="0"/>
    <n v="38"/>
    <x v="8"/>
    <x v="15"/>
    <x v="4"/>
    <x v="1"/>
    <x v="5"/>
    <x v="1"/>
    <x v="14"/>
    <x v="9"/>
    <x v="4"/>
    <x v="0"/>
  </r>
  <r>
    <x v="132"/>
    <x v="0"/>
    <n v="38"/>
    <x v="8"/>
    <x v="15"/>
    <x v="4"/>
    <x v="1"/>
    <x v="5"/>
    <x v="1"/>
    <x v="14"/>
    <x v="9"/>
    <x v="4"/>
    <x v="0"/>
  </r>
  <r>
    <x v="133"/>
    <x v="1"/>
    <n v="38"/>
    <x v="6"/>
    <x v="17"/>
    <x v="4"/>
    <x v="1"/>
    <x v="3"/>
    <x v="1"/>
    <x v="11"/>
    <x v="9"/>
    <x v="9"/>
    <x v="0"/>
  </r>
  <r>
    <x v="134"/>
    <x v="0"/>
    <n v="38"/>
    <x v="8"/>
    <x v="15"/>
    <x v="4"/>
    <x v="1"/>
    <x v="5"/>
    <x v="1"/>
    <x v="14"/>
    <x v="9"/>
    <x v="4"/>
    <x v="0"/>
  </r>
  <r>
    <x v="135"/>
    <x v="0"/>
    <n v="38"/>
    <x v="8"/>
    <x v="15"/>
    <x v="4"/>
    <x v="1"/>
    <x v="5"/>
    <x v="1"/>
    <x v="14"/>
    <x v="9"/>
    <x v="4"/>
    <x v="0"/>
  </r>
  <r>
    <x v="136"/>
    <x v="1"/>
    <n v="38"/>
    <x v="6"/>
    <x v="17"/>
    <x v="4"/>
    <x v="1"/>
    <x v="3"/>
    <x v="1"/>
    <x v="11"/>
    <x v="9"/>
    <x v="9"/>
    <x v="0"/>
  </r>
  <r>
    <x v="137"/>
    <x v="0"/>
    <n v="38"/>
    <x v="8"/>
    <x v="17"/>
    <x v="4"/>
    <x v="1"/>
    <x v="5"/>
    <x v="1"/>
    <x v="14"/>
    <x v="9"/>
    <x v="4"/>
    <x v="0"/>
  </r>
  <r>
    <x v="138"/>
    <x v="1"/>
    <n v="38"/>
    <x v="6"/>
    <x v="17"/>
    <x v="4"/>
    <x v="1"/>
    <x v="3"/>
    <x v="1"/>
    <x v="11"/>
    <x v="9"/>
    <x v="9"/>
    <x v="0"/>
  </r>
  <r>
    <x v="139"/>
    <x v="0"/>
    <n v="38"/>
    <x v="8"/>
    <x v="17"/>
    <x v="4"/>
    <x v="1"/>
    <x v="5"/>
    <x v="1"/>
    <x v="14"/>
    <x v="9"/>
    <x v="4"/>
    <x v="0"/>
  </r>
  <r>
    <x v="140"/>
    <x v="1"/>
    <n v="38"/>
    <x v="6"/>
    <x v="17"/>
    <x v="4"/>
    <x v="1"/>
    <x v="3"/>
    <x v="1"/>
    <x v="11"/>
    <x v="9"/>
    <x v="9"/>
    <x v="0"/>
  </r>
  <r>
    <x v="141"/>
    <x v="0"/>
    <n v="38"/>
    <x v="8"/>
    <x v="17"/>
    <x v="4"/>
    <x v="1"/>
    <x v="5"/>
    <x v="1"/>
    <x v="14"/>
    <x v="9"/>
    <x v="4"/>
    <x v="0"/>
  </r>
  <r>
    <x v="142"/>
    <x v="1"/>
    <n v="38"/>
    <x v="6"/>
    <x v="17"/>
    <x v="4"/>
    <x v="1"/>
    <x v="3"/>
    <x v="1"/>
    <x v="11"/>
    <x v="9"/>
    <x v="9"/>
    <x v="0"/>
  </r>
  <r>
    <x v="143"/>
    <x v="1"/>
    <n v="38"/>
    <x v="6"/>
    <x v="17"/>
    <x v="4"/>
    <x v="1"/>
    <x v="3"/>
    <x v="1"/>
    <x v="11"/>
    <x v="9"/>
    <x v="9"/>
    <x v="0"/>
  </r>
  <r>
    <x v="144"/>
    <x v="0"/>
    <n v="38"/>
    <x v="8"/>
    <x v="17"/>
    <x v="4"/>
    <x v="1"/>
    <x v="5"/>
    <x v="1"/>
    <x v="14"/>
    <x v="9"/>
    <x v="4"/>
    <x v="1"/>
  </r>
  <r>
    <x v="145"/>
    <x v="1"/>
    <n v="38"/>
    <x v="8"/>
    <x v="16"/>
    <x v="2"/>
    <x v="1"/>
    <x v="5"/>
    <x v="2"/>
    <x v="12"/>
    <x v="13"/>
    <x v="13"/>
    <x v="1"/>
  </r>
  <r>
    <x v="146"/>
    <x v="0"/>
    <n v="39"/>
    <x v="8"/>
    <x v="12"/>
    <x v="4"/>
    <x v="1"/>
    <x v="5"/>
    <x v="1"/>
    <x v="14"/>
    <x v="9"/>
    <x v="4"/>
    <x v="2"/>
  </r>
  <r>
    <x v="147"/>
    <x v="0"/>
    <n v="39"/>
    <x v="5"/>
    <x v="6"/>
    <x v="3"/>
    <x v="3"/>
    <x v="2"/>
    <x v="0"/>
    <x v="4"/>
    <x v="5"/>
    <x v="5"/>
    <x v="2"/>
  </r>
  <r>
    <x v="148"/>
    <x v="1"/>
    <n v="39"/>
    <x v="8"/>
    <x v="19"/>
    <x v="2"/>
    <x v="7"/>
    <x v="0"/>
    <x v="3"/>
    <x v="8"/>
    <x v="1"/>
    <x v="10"/>
    <x v="0"/>
  </r>
  <r>
    <x v="149"/>
    <x v="1"/>
    <n v="39"/>
    <x v="6"/>
    <x v="20"/>
    <x v="5"/>
    <x v="10"/>
    <x v="4"/>
    <x v="3"/>
    <x v="15"/>
    <x v="15"/>
    <x v="15"/>
    <x v="0"/>
  </r>
  <r>
    <x v="150"/>
    <x v="1"/>
    <n v="39"/>
    <x v="6"/>
    <x v="20"/>
    <x v="5"/>
    <x v="10"/>
    <x v="4"/>
    <x v="3"/>
    <x v="15"/>
    <x v="15"/>
    <x v="15"/>
    <x v="0"/>
  </r>
  <r>
    <x v="151"/>
    <x v="0"/>
    <n v="39"/>
    <x v="8"/>
    <x v="12"/>
    <x v="4"/>
    <x v="1"/>
    <x v="5"/>
    <x v="1"/>
    <x v="14"/>
    <x v="9"/>
    <x v="4"/>
    <x v="0"/>
  </r>
  <r>
    <x v="152"/>
    <x v="0"/>
    <n v="39"/>
    <x v="8"/>
    <x v="12"/>
    <x v="4"/>
    <x v="1"/>
    <x v="5"/>
    <x v="1"/>
    <x v="14"/>
    <x v="9"/>
    <x v="4"/>
    <x v="0"/>
  </r>
  <r>
    <x v="153"/>
    <x v="0"/>
    <n v="39"/>
    <x v="8"/>
    <x v="12"/>
    <x v="4"/>
    <x v="1"/>
    <x v="5"/>
    <x v="1"/>
    <x v="14"/>
    <x v="9"/>
    <x v="4"/>
    <x v="0"/>
  </r>
  <r>
    <x v="154"/>
    <x v="0"/>
    <n v="39"/>
    <x v="8"/>
    <x v="12"/>
    <x v="4"/>
    <x v="1"/>
    <x v="5"/>
    <x v="1"/>
    <x v="14"/>
    <x v="9"/>
    <x v="4"/>
    <x v="0"/>
  </r>
  <r>
    <x v="155"/>
    <x v="0"/>
    <n v="39"/>
    <x v="8"/>
    <x v="12"/>
    <x v="4"/>
    <x v="1"/>
    <x v="5"/>
    <x v="1"/>
    <x v="14"/>
    <x v="9"/>
    <x v="4"/>
    <x v="0"/>
  </r>
  <r>
    <x v="156"/>
    <x v="0"/>
    <n v="39"/>
    <x v="8"/>
    <x v="12"/>
    <x v="4"/>
    <x v="1"/>
    <x v="5"/>
    <x v="1"/>
    <x v="14"/>
    <x v="9"/>
    <x v="4"/>
    <x v="0"/>
  </r>
  <r>
    <x v="157"/>
    <x v="0"/>
    <n v="39"/>
    <x v="8"/>
    <x v="12"/>
    <x v="4"/>
    <x v="1"/>
    <x v="5"/>
    <x v="1"/>
    <x v="14"/>
    <x v="9"/>
    <x v="4"/>
    <x v="0"/>
  </r>
  <r>
    <x v="158"/>
    <x v="0"/>
    <n v="39"/>
    <x v="8"/>
    <x v="12"/>
    <x v="4"/>
    <x v="1"/>
    <x v="5"/>
    <x v="1"/>
    <x v="14"/>
    <x v="9"/>
    <x v="4"/>
    <x v="0"/>
  </r>
  <r>
    <x v="159"/>
    <x v="0"/>
    <n v="39"/>
    <x v="8"/>
    <x v="12"/>
    <x v="4"/>
    <x v="1"/>
    <x v="5"/>
    <x v="1"/>
    <x v="14"/>
    <x v="9"/>
    <x v="4"/>
    <x v="0"/>
  </r>
  <r>
    <x v="160"/>
    <x v="0"/>
    <n v="39"/>
    <x v="8"/>
    <x v="12"/>
    <x v="4"/>
    <x v="1"/>
    <x v="5"/>
    <x v="1"/>
    <x v="14"/>
    <x v="9"/>
    <x v="4"/>
    <x v="0"/>
  </r>
  <r>
    <x v="161"/>
    <x v="1"/>
    <n v="40"/>
    <x v="6"/>
    <x v="12"/>
    <x v="4"/>
    <x v="11"/>
    <x v="0"/>
    <x v="3"/>
    <x v="16"/>
    <x v="16"/>
    <x v="16"/>
    <x v="0"/>
  </r>
  <r>
    <x v="162"/>
    <x v="1"/>
    <n v="40"/>
    <x v="6"/>
    <x v="12"/>
    <x v="4"/>
    <x v="11"/>
    <x v="0"/>
    <x v="3"/>
    <x v="16"/>
    <x v="16"/>
    <x v="16"/>
    <x v="0"/>
  </r>
  <r>
    <x v="163"/>
    <x v="0"/>
    <n v="40"/>
    <x v="8"/>
    <x v="9"/>
    <x v="4"/>
    <x v="12"/>
    <x v="5"/>
    <x v="1"/>
    <x v="14"/>
    <x v="9"/>
    <x v="4"/>
    <x v="0"/>
  </r>
  <r>
    <x v="164"/>
    <x v="0"/>
    <n v="40"/>
    <x v="8"/>
    <x v="9"/>
    <x v="4"/>
    <x v="12"/>
    <x v="5"/>
    <x v="1"/>
    <x v="14"/>
    <x v="9"/>
    <x v="4"/>
    <x v="0"/>
  </r>
  <r>
    <x v="165"/>
    <x v="0"/>
    <n v="41"/>
    <x v="8"/>
    <x v="7"/>
    <x v="4"/>
    <x v="12"/>
    <x v="5"/>
    <x v="1"/>
    <x v="14"/>
    <x v="4"/>
    <x v="4"/>
    <x v="2"/>
  </r>
  <r>
    <x v="166"/>
    <x v="0"/>
    <n v="41"/>
    <x v="5"/>
    <x v="15"/>
    <x v="4"/>
    <x v="9"/>
    <x v="0"/>
    <x v="3"/>
    <x v="17"/>
    <x v="8"/>
    <x v="17"/>
    <x v="0"/>
  </r>
  <r>
    <x v="167"/>
    <x v="0"/>
    <n v="41"/>
    <x v="8"/>
    <x v="17"/>
    <x v="2"/>
    <x v="11"/>
    <x v="0"/>
    <x v="0"/>
    <x v="18"/>
    <x v="8"/>
    <x v="18"/>
    <x v="0"/>
  </r>
  <r>
    <x v="168"/>
    <x v="0"/>
    <n v="41"/>
    <x v="8"/>
    <x v="17"/>
    <x v="2"/>
    <x v="11"/>
    <x v="0"/>
    <x v="0"/>
    <x v="18"/>
    <x v="8"/>
    <x v="18"/>
    <x v="0"/>
  </r>
  <r>
    <x v="169"/>
    <x v="0"/>
    <n v="41"/>
    <x v="8"/>
    <x v="8"/>
    <x v="4"/>
    <x v="12"/>
    <x v="5"/>
    <x v="1"/>
    <x v="14"/>
    <x v="4"/>
    <x v="4"/>
    <x v="0"/>
  </r>
  <r>
    <x v="170"/>
    <x v="0"/>
    <n v="41"/>
    <x v="8"/>
    <x v="8"/>
    <x v="4"/>
    <x v="12"/>
    <x v="5"/>
    <x v="1"/>
    <x v="14"/>
    <x v="4"/>
    <x v="4"/>
    <x v="0"/>
  </r>
  <r>
    <x v="171"/>
    <x v="0"/>
    <n v="41"/>
    <x v="8"/>
    <x v="8"/>
    <x v="4"/>
    <x v="12"/>
    <x v="5"/>
    <x v="1"/>
    <x v="14"/>
    <x v="4"/>
    <x v="4"/>
    <x v="0"/>
  </r>
  <r>
    <x v="172"/>
    <x v="0"/>
    <n v="41"/>
    <x v="8"/>
    <x v="8"/>
    <x v="4"/>
    <x v="12"/>
    <x v="5"/>
    <x v="1"/>
    <x v="14"/>
    <x v="4"/>
    <x v="4"/>
    <x v="0"/>
  </r>
  <r>
    <x v="173"/>
    <x v="0"/>
    <n v="41"/>
    <x v="8"/>
    <x v="8"/>
    <x v="4"/>
    <x v="12"/>
    <x v="5"/>
    <x v="1"/>
    <x v="14"/>
    <x v="4"/>
    <x v="4"/>
    <x v="0"/>
  </r>
  <r>
    <x v="174"/>
    <x v="0"/>
    <n v="41"/>
    <x v="8"/>
    <x v="7"/>
    <x v="4"/>
    <x v="12"/>
    <x v="5"/>
    <x v="1"/>
    <x v="14"/>
    <x v="4"/>
    <x v="4"/>
    <x v="0"/>
  </r>
  <r>
    <x v="175"/>
    <x v="0"/>
    <n v="41"/>
    <x v="8"/>
    <x v="7"/>
    <x v="4"/>
    <x v="12"/>
    <x v="5"/>
    <x v="1"/>
    <x v="14"/>
    <x v="4"/>
    <x v="4"/>
    <x v="0"/>
  </r>
  <r>
    <x v="176"/>
    <x v="0"/>
    <n v="41"/>
    <x v="8"/>
    <x v="7"/>
    <x v="4"/>
    <x v="12"/>
    <x v="5"/>
    <x v="1"/>
    <x v="14"/>
    <x v="4"/>
    <x v="4"/>
    <x v="0"/>
  </r>
  <r>
    <x v="177"/>
    <x v="0"/>
    <n v="42"/>
    <x v="9"/>
    <x v="6"/>
    <x v="0"/>
    <x v="6"/>
    <x v="2"/>
    <x v="0"/>
    <x v="14"/>
    <x v="8"/>
    <x v="18"/>
    <x v="2"/>
  </r>
  <r>
    <x v="178"/>
    <x v="0"/>
    <n v="42"/>
    <x v="8"/>
    <x v="4"/>
    <x v="4"/>
    <x v="12"/>
    <x v="5"/>
    <x v="1"/>
    <x v="14"/>
    <x v="4"/>
    <x v="4"/>
    <x v="0"/>
  </r>
  <r>
    <x v="179"/>
    <x v="0"/>
    <n v="42"/>
    <x v="8"/>
    <x v="4"/>
    <x v="4"/>
    <x v="12"/>
    <x v="5"/>
    <x v="1"/>
    <x v="14"/>
    <x v="4"/>
    <x v="4"/>
    <x v="0"/>
  </r>
  <r>
    <x v="180"/>
    <x v="0"/>
    <n v="42"/>
    <x v="8"/>
    <x v="4"/>
    <x v="4"/>
    <x v="12"/>
    <x v="5"/>
    <x v="1"/>
    <x v="14"/>
    <x v="4"/>
    <x v="4"/>
    <x v="0"/>
  </r>
  <r>
    <x v="181"/>
    <x v="0"/>
    <n v="42"/>
    <x v="8"/>
    <x v="4"/>
    <x v="4"/>
    <x v="12"/>
    <x v="5"/>
    <x v="1"/>
    <x v="14"/>
    <x v="4"/>
    <x v="4"/>
    <x v="0"/>
  </r>
  <r>
    <x v="182"/>
    <x v="0"/>
    <n v="42"/>
    <x v="8"/>
    <x v="4"/>
    <x v="4"/>
    <x v="12"/>
    <x v="5"/>
    <x v="1"/>
    <x v="14"/>
    <x v="4"/>
    <x v="4"/>
    <x v="0"/>
  </r>
  <r>
    <x v="183"/>
    <x v="0"/>
    <n v="42"/>
    <x v="8"/>
    <x v="4"/>
    <x v="4"/>
    <x v="12"/>
    <x v="5"/>
    <x v="1"/>
    <x v="14"/>
    <x v="4"/>
    <x v="4"/>
    <x v="0"/>
  </r>
  <r>
    <x v="184"/>
    <x v="1"/>
    <n v="42"/>
    <x v="3"/>
    <x v="21"/>
    <x v="0"/>
    <x v="6"/>
    <x v="2"/>
    <x v="0"/>
    <x v="14"/>
    <x v="6"/>
    <x v="8"/>
    <x v="1"/>
  </r>
  <r>
    <x v="185"/>
    <x v="1"/>
    <n v="42"/>
    <x v="3"/>
    <x v="21"/>
    <x v="0"/>
    <x v="6"/>
    <x v="2"/>
    <x v="0"/>
    <x v="14"/>
    <x v="6"/>
    <x v="8"/>
    <x v="1"/>
  </r>
  <r>
    <x v="186"/>
    <x v="1"/>
    <n v="43"/>
    <x v="3"/>
    <x v="14"/>
    <x v="2"/>
    <x v="6"/>
    <x v="3"/>
    <x v="0"/>
    <x v="19"/>
    <x v="12"/>
    <x v="18"/>
    <x v="2"/>
  </r>
  <r>
    <x v="187"/>
    <x v="0"/>
    <n v="43"/>
    <x v="9"/>
    <x v="3"/>
    <x v="0"/>
    <x v="6"/>
    <x v="2"/>
    <x v="0"/>
    <x v="14"/>
    <x v="8"/>
    <x v="18"/>
    <x v="2"/>
  </r>
  <r>
    <x v="188"/>
    <x v="1"/>
    <n v="43"/>
    <x v="3"/>
    <x v="14"/>
    <x v="2"/>
    <x v="6"/>
    <x v="3"/>
    <x v="0"/>
    <x v="19"/>
    <x v="12"/>
    <x v="18"/>
    <x v="2"/>
  </r>
  <r>
    <x v="189"/>
    <x v="0"/>
    <n v="43"/>
    <x v="9"/>
    <x v="6"/>
    <x v="0"/>
    <x v="6"/>
    <x v="2"/>
    <x v="0"/>
    <x v="14"/>
    <x v="8"/>
    <x v="18"/>
    <x v="2"/>
  </r>
  <r>
    <x v="190"/>
    <x v="1"/>
    <n v="43"/>
    <x v="3"/>
    <x v="14"/>
    <x v="2"/>
    <x v="6"/>
    <x v="3"/>
    <x v="0"/>
    <x v="19"/>
    <x v="12"/>
    <x v="18"/>
    <x v="2"/>
  </r>
  <r>
    <x v="191"/>
    <x v="0"/>
    <n v="43"/>
    <x v="9"/>
    <x v="10"/>
    <x v="0"/>
    <x v="6"/>
    <x v="2"/>
    <x v="0"/>
    <x v="14"/>
    <x v="8"/>
    <x v="18"/>
    <x v="2"/>
  </r>
  <r>
    <x v="192"/>
    <x v="0"/>
    <n v="43"/>
    <x v="9"/>
    <x v="6"/>
    <x v="0"/>
    <x v="6"/>
    <x v="2"/>
    <x v="0"/>
    <x v="14"/>
    <x v="8"/>
    <x v="18"/>
    <x v="2"/>
  </r>
  <r>
    <x v="193"/>
    <x v="0"/>
    <n v="43"/>
    <x v="9"/>
    <x v="6"/>
    <x v="0"/>
    <x v="6"/>
    <x v="2"/>
    <x v="0"/>
    <x v="14"/>
    <x v="8"/>
    <x v="18"/>
    <x v="2"/>
  </r>
  <r>
    <x v="194"/>
    <x v="0"/>
    <n v="43"/>
    <x v="9"/>
    <x v="6"/>
    <x v="0"/>
    <x v="6"/>
    <x v="2"/>
    <x v="0"/>
    <x v="14"/>
    <x v="8"/>
    <x v="18"/>
    <x v="2"/>
  </r>
  <r>
    <x v="195"/>
    <x v="0"/>
    <n v="43"/>
    <x v="9"/>
    <x v="6"/>
    <x v="0"/>
    <x v="6"/>
    <x v="2"/>
    <x v="0"/>
    <x v="14"/>
    <x v="8"/>
    <x v="18"/>
    <x v="2"/>
  </r>
  <r>
    <x v="196"/>
    <x v="0"/>
    <n v="43"/>
    <x v="9"/>
    <x v="6"/>
    <x v="0"/>
    <x v="6"/>
    <x v="2"/>
    <x v="0"/>
    <x v="14"/>
    <x v="8"/>
    <x v="18"/>
    <x v="2"/>
  </r>
  <r>
    <x v="197"/>
    <x v="0"/>
    <n v="43"/>
    <x v="9"/>
    <x v="6"/>
    <x v="0"/>
    <x v="6"/>
    <x v="2"/>
    <x v="0"/>
    <x v="14"/>
    <x v="8"/>
    <x v="18"/>
    <x v="2"/>
  </r>
  <r>
    <x v="198"/>
    <x v="0"/>
    <n v="43"/>
    <x v="9"/>
    <x v="6"/>
    <x v="0"/>
    <x v="6"/>
    <x v="2"/>
    <x v="0"/>
    <x v="14"/>
    <x v="8"/>
    <x v="18"/>
    <x v="2"/>
  </r>
  <r>
    <x v="199"/>
    <x v="0"/>
    <n v="43"/>
    <x v="9"/>
    <x v="6"/>
    <x v="0"/>
    <x v="6"/>
    <x v="2"/>
    <x v="0"/>
    <x v="14"/>
    <x v="8"/>
    <x v="18"/>
    <x v="2"/>
  </r>
  <r>
    <x v="200"/>
    <x v="0"/>
    <n v="43"/>
    <x v="9"/>
    <x v="6"/>
    <x v="0"/>
    <x v="6"/>
    <x v="2"/>
    <x v="0"/>
    <x v="14"/>
    <x v="8"/>
    <x v="18"/>
    <x v="2"/>
  </r>
  <r>
    <x v="201"/>
    <x v="0"/>
    <n v="43"/>
    <x v="5"/>
    <x v="4"/>
    <x v="4"/>
    <x v="12"/>
    <x v="5"/>
    <x v="1"/>
    <x v="14"/>
    <x v="4"/>
    <x v="4"/>
    <x v="2"/>
  </r>
  <r>
    <x v="202"/>
    <x v="0"/>
    <n v="43"/>
    <x v="5"/>
    <x v="4"/>
    <x v="4"/>
    <x v="12"/>
    <x v="5"/>
    <x v="1"/>
    <x v="14"/>
    <x v="4"/>
    <x v="4"/>
    <x v="2"/>
  </r>
  <r>
    <x v="203"/>
    <x v="0"/>
    <n v="43"/>
    <x v="5"/>
    <x v="19"/>
    <x v="0"/>
    <x v="13"/>
    <x v="2"/>
    <x v="3"/>
    <x v="6"/>
    <x v="7"/>
    <x v="7"/>
    <x v="0"/>
  </r>
  <r>
    <x v="204"/>
    <x v="0"/>
    <n v="43"/>
    <x v="5"/>
    <x v="7"/>
    <x v="4"/>
    <x v="4"/>
    <x v="3"/>
    <x v="0"/>
    <x v="20"/>
    <x v="9"/>
    <x v="7"/>
    <x v="0"/>
  </r>
  <r>
    <x v="205"/>
    <x v="0"/>
    <n v="43"/>
    <x v="5"/>
    <x v="8"/>
    <x v="4"/>
    <x v="12"/>
    <x v="5"/>
    <x v="1"/>
    <x v="14"/>
    <x v="4"/>
    <x v="4"/>
    <x v="0"/>
  </r>
  <r>
    <x v="206"/>
    <x v="0"/>
    <n v="43"/>
    <x v="5"/>
    <x v="8"/>
    <x v="4"/>
    <x v="12"/>
    <x v="5"/>
    <x v="1"/>
    <x v="14"/>
    <x v="4"/>
    <x v="4"/>
    <x v="0"/>
  </r>
  <r>
    <x v="207"/>
    <x v="0"/>
    <n v="43"/>
    <x v="5"/>
    <x v="8"/>
    <x v="4"/>
    <x v="12"/>
    <x v="5"/>
    <x v="1"/>
    <x v="14"/>
    <x v="4"/>
    <x v="4"/>
    <x v="0"/>
  </r>
  <r>
    <x v="208"/>
    <x v="0"/>
    <n v="43"/>
    <x v="5"/>
    <x v="8"/>
    <x v="4"/>
    <x v="12"/>
    <x v="5"/>
    <x v="1"/>
    <x v="14"/>
    <x v="4"/>
    <x v="4"/>
    <x v="0"/>
  </r>
  <r>
    <x v="209"/>
    <x v="0"/>
    <n v="43"/>
    <x v="5"/>
    <x v="4"/>
    <x v="4"/>
    <x v="12"/>
    <x v="5"/>
    <x v="1"/>
    <x v="14"/>
    <x v="4"/>
    <x v="4"/>
    <x v="0"/>
  </r>
  <r>
    <x v="210"/>
    <x v="0"/>
    <n v="43"/>
    <x v="5"/>
    <x v="8"/>
    <x v="4"/>
    <x v="12"/>
    <x v="5"/>
    <x v="1"/>
    <x v="14"/>
    <x v="4"/>
    <x v="4"/>
    <x v="0"/>
  </r>
  <r>
    <x v="211"/>
    <x v="0"/>
    <n v="43"/>
    <x v="5"/>
    <x v="4"/>
    <x v="4"/>
    <x v="12"/>
    <x v="5"/>
    <x v="1"/>
    <x v="14"/>
    <x v="4"/>
    <x v="4"/>
    <x v="0"/>
  </r>
  <r>
    <x v="212"/>
    <x v="0"/>
    <n v="43"/>
    <x v="5"/>
    <x v="4"/>
    <x v="4"/>
    <x v="12"/>
    <x v="5"/>
    <x v="1"/>
    <x v="14"/>
    <x v="4"/>
    <x v="4"/>
    <x v="0"/>
  </r>
  <r>
    <x v="213"/>
    <x v="0"/>
    <n v="43"/>
    <x v="5"/>
    <x v="4"/>
    <x v="4"/>
    <x v="12"/>
    <x v="5"/>
    <x v="1"/>
    <x v="14"/>
    <x v="4"/>
    <x v="4"/>
    <x v="0"/>
  </r>
  <r>
    <x v="214"/>
    <x v="0"/>
    <n v="43"/>
    <x v="5"/>
    <x v="4"/>
    <x v="4"/>
    <x v="12"/>
    <x v="5"/>
    <x v="1"/>
    <x v="14"/>
    <x v="4"/>
    <x v="4"/>
    <x v="0"/>
  </r>
  <r>
    <x v="215"/>
    <x v="0"/>
    <n v="43"/>
    <x v="5"/>
    <x v="4"/>
    <x v="4"/>
    <x v="12"/>
    <x v="5"/>
    <x v="1"/>
    <x v="14"/>
    <x v="4"/>
    <x v="4"/>
    <x v="0"/>
  </r>
  <r>
    <x v="216"/>
    <x v="0"/>
    <n v="43"/>
    <x v="5"/>
    <x v="4"/>
    <x v="4"/>
    <x v="12"/>
    <x v="5"/>
    <x v="1"/>
    <x v="14"/>
    <x v="4"/>
    <x v="4"/>
    <x v="0"/>
  </r>
  <r>
    <x v="217"/>
    <x v="0"/>
    <n v="43"/>
    <x v="5"/>
    <x v="4"/>
    <x v="4"/>
    <x v="12"/>
    <x v="5"/>
    <x v="1"/>
    <x v="14"/>
    <x v="4"/>
    <x v="4"/>
    <x v="0"/>
  </r>
  <r>
    <x v="218"/>
    <x v="0"/>
    <n v="43"/>
    <x v="5"/>
    <x v="4"/>
    <x v="4"/>
    <x v="12"/>
    <x v="5"/>
    <x v="1"/>
    <x v="14"/>
    <x v="4"/>
    <x v="4"/>
    <x v="1"/>
  </r>
  <r>
    <x v="219"/>
    <x v="0"/>
    <n v="43"/>
    <x v="9"/>
    <x v="6"/>
    <x v="0"/>
    <x v="6"/>
    <x v="2"/>
    <x v="0"/>
    <x v="14"/>
    <x v="8"/>
    <x v="18"/>
    <x v="1"/>
  </r>
  <r>
    <x v="220"/>
    <x v="1"/>
    <n v="44"/>
    <x v="3"/>
    <x v="18"/>
    <x v="2"/>
    <x v="6"/>
    <x v="3"/>
    <x v="0"/>
    <x v="19"/>
    <x v="12"/>
    <x v="18"/>
    <x v="2"/>
  </r>
  <r>
    <x v="221"/>
    <x v="0"/>
    <n v="44"/>
    <x v="9"/>
    <x v="10"/>
    <x v="0"/>
    <x v="6"/>
    <x v="2"/>
    <x v="0"/>
    <x v="14"/>
    <x v="8"/>
    <x v="18"/>
    <x v="2"/>
  </r>
  <r>
    <x v="222"/>
    <x v="0"/>
    <n v="44"/>
    <x v="9"/>
    <x v="3"/>
    <x v="0"/>
    <x v="6"/>
    <x v="2"/>
    <x v="0"/>
    <x v="14"/>
    <x v="8"/>
    <x v="18"/>
    <x v="2"/>
  </r>
  <r>
    <x v="223"/>
    <x v="0"/>
    <n v="44"/>
    <x v="9"/>
    <x v="10"/>
    <x v="0"/>
    <x v="6"/>
    <x v="2"/>
    <x v="0"/>
    <x v="14"/>
    <x v="8"/>
    <x v="18"/>
    <x v="2"/>
  </r>
  <r>
    <x v="224"/>
    <x v="1"/>
    <n v="44"/>
    <x v="3"/>
    <x v="18"/>
    <x v="2"/>
    <x v="6"/>
    <x v="3"/>
    <x v="0"/>
    <x v="19"/>
    <x v="12"/>
    <x v="18"/>
    <x v="2"/>
  </r>
  <r>
    <x v="225"/>
    <x v="0"/>
    <n v="44"/>
    <x v="9"/>
    <x v="3"/>
    <x v="0"/>
    <x v="6"/>
    <x v="2"/>
    <x v="0"/>
    <x v="14"/>
    <x v="8"/>
    <x v="18"/>
    <x v="2"/>
  </r>
  <r>
    <x v="226"/>
    <x v="1"/>
    <n v="44"/>
    <x v="3"/>
    <x v="18"/>
    <x v="2"/>
    <x v="6"/>
    <x v="3"/>
    <x v="0"/>
    <x v="19"/>
    <x v="12"/>
    <x v="18"/>
    <x v="2"/>
  </r>
  <r>
    <x v="227"/>
    <x v="0"/>
    <n v="44"/>
    <x v="9"/>
    <x v="3"/>
    <x v="0"/>
    <x v="6"/>
    <x v="2"/>
    <x v="0"/>
    <x v="14"/>
    <x v="8"/>
    <x v="18"/>
    <x v="2"/>
  </r>
  <r>
    <x v="228"/>
    <x v="1"/>
    <n v="44"/>
    <x v="3"/>
    <x v="18"/>
    <x v="2"/>
    <x v="6"/>
    <x v="3"/>
    <x v="0"/>
    <x v="19"/>
    <x v="12"/>
    <x v="18"/>
    <x v="2"/>
  </r>
  <r>
    <x v="229"/>
    <x v="0"/>
    <n v="44"/>
    <x v="9"/>
    <x v="3"/>
    <x v="0"/>
    <x v="6"/>
    <x v="2"/>
    <x v="0"/>
    <x v="14"/>
    <x v="8"/>
    <x v="18"/>
    <x v="2"/>
  </r>
  <r>
    <x v="230"/>
    <x v="1"/>
    <n v="44"/>
    <x v="3"/>
    <x v="18"/>
    <x v="2"/>
    <x v="6"/>
    <x v="3"/>
    <x v="0"/>
    <x v="19"/>
    <x v="12"/>
    <x v="18"/>
    <x v="2"/>
  </r>
  <r>
    <x v="231"/>
    <x v="0"/>
    <n v="44"/>
    <x v="9"/>
    <x v="3"/>
    <x v="0"/>
    <x v="6"/>
    <x v="2"/>
    <x v="0"/>
    <x v="14"/>
    <x v="8"/>
    <x v="18"/>
    <x v="2"/>
  </r>
  <r>
    <x v="232"/>
    <x v="1"/>
    <n v="44"/>
    <x v="3"/>
    <x v="18"/>
    <x v="2"/>
    <x v="6"/>
    <x v="3"/>
    <x v="0"/>
    <x v="19"/>
    <x v="12"/>
    <x v="18"/>
    <x v="2"/>
  </r>
  <r>
    <x v="233"/>
    <x v="0"/>
    <n v="44"/>
    <x v="9"/>
    <x v="3"/>
    <x v="0"/>
    <x v="6"/>
    <x v="2"/>
    <x v="0"/>
    <x v="14"/>
    <x v="8"/>
    <x v="18"/>
    <x v="2"/>
  </r>
  <r>
    <x v="234"/>
    <x v="1"/>
    <n v="44"/>
    <x v="3"/>
    <x v="18"/>
    <x v="2"/>
    <x v="6"/>
    <x v="3"/>
    <x v="0"/>
    <x v="19"/>
    <x v="12"/>
    <x v="18"/>
    <x v="2"/>
  </r>
  <r>
    <x v="235"/>
    <x v="0"/>
    <n v="44"/>
    <x v="9"/>
    <x v="3"/>
    <x v="0"/>
    <x v="6"/>
    <x v="2"/>
    <x v="0"/>
    <x v="14"/>
    <x v="8"/>
    <x v="18"/>
    <x v="2"/>
  </r>
  <r>
    <x v="236"/>
    <x v="0"/>
    <n v="44"/>
    <x v="9"/>
    <x v="10"/>
    <x v="0"/>
    <x v="6"/>
    <x v="2"/>
    <x v="0"/>
    <x v="14"/>
    <x v="8"/>
    <x v="18"/>
    <x v="2"/>
  </r>
  <r>
    <x v="237"/>
    <x v="1"/>
    <n v="44"/>
    <x v="3"/>
    <x v="6"/>
    <x v="2"/>
    <x v="6"/>
    <x v="3"/>
    <x v="0"/>
    <x v="19"/>
    <x v="12"/>
    <x v="18"/>
    <x v="2"/>
  </r>
  <r>
    <x v="238"/>
    <x v="0"/>
    <n v="44"/>
    <x v="9"/>
    <x v="3"/>
    <x v="0"/>
    <x v="6"/>
    <x v="2"/>
    <x v="0"/>
    <x v="14"/>
    <x v="8"/>
    <x v="18"/>
    <x v="2"/>
  </r>
  <r>
    <x v="239"/>
    <x v="0"/>
    <n v="44"/>
    <x v="9"/>
    <x v="10"/>
    <x v="0"/>
    <x v="6"/>
    <x v="2"/>
    <x v="0"/>
    <x v="14"/>
    <x v="8"/>
    <x v="18"/>
    <x v="2"/>
  </r>
  <r>
    <x v="240"/>
    <x v="1"/>
    <n v="44"/>
    <x v="3"/>
    <x v="6"/>
    <x v="2"/>
    <x v="6"/>
    <x v="3"/>
    <x v="0"/>
    <x v="19"/>
    <x v="12"/>
    <x v="18"/>
    <x v="2"/>
  </r>
  <r>
    <x v="241"/>
    <x v="0"/>
    <n v="44"/>
    <x v="9"/>
    <x v="3"/>
    <x v="0"/>
    <x v="6"/>
    <x v="2"/>
    <x v="0"/>
    <x v="14"/>
    <x v="8"/>
    <x v="18"/>
    <x v="2"/>
  </r>
  <r>
    <x v="242"/>
    <x v="0"/>
    <n v="44"/>
    <x v="9"/>
    <x v="10"/>
    <x v="0"/>
    <x v="6"/>
    <x v="2"/>
    <x v="0"/>
    <x v="14"/>
    <x v="8"/>
    <x v="18"/>
    <x v="2"/>
  </r>
  <r>
    <x v="243"/>
    <x v="1"/>
    <n v="44"/>
    <x v="3"/>
    <x v="6"/>
    <x v="2"/>
    <x v="6"/>
    <x v="3"/>
    <x v="0"/>
    <x v="19"/>
    <x v="12"/>
    <x v="18"/>
    <x v="2"/>
  </r>
  <r>
    <x v="244"/>
    <x v="0"/>
    <n v="44"/>
    <x v="9"/>
    <x v="3"/>
    <x v="0"/>
    <x v="6"/>
    <x v="2"/>
    <x v="0"/>
    <x v="14"/>
    <x v="8"/>
    <x v="18"/>
    <x v="2"/>
  </r>
  <r>
    <x v="245"/>
    <x v="1"/>
    <n v="44"/>
    <x v="3"/>
    <x v="6"/>
    <x v="2"/>
    <x v="6"/>
    <x v="3"/>
    <x v="0"/>
    <x v="19"/>
    <x v="12"/>
    <x v="18"/>
    <x v="2"/>
  </r>
  <r>
    <x v="246"/>
    <x v="0"/>
    <n v="44"/>
    <x v="9"/>
    <x v="3"/>
    <x v="0"/>
    <x v="6"/>
    <x v="2"/>
    <x v="0"/>
    <x v="14"/>
    <x v="8"/>
    <x v="18"/>
    <x v="2"/>
  </r>
  <r>
    <x v="247"/>
    <x v="0"/>
    <n v="44"/>
    <x v="5"/>
    <x v="21"/>
    <x v="2"/>
    <x v="6"/>
    <x v="2"/>
    <x v="0"/>
    <x v="14"/>
    <x v="6"/>
    <x v="8"/>
    <x v="2"/>
  </r>
  <r>
    <x v="248"/>
    <x v="0"/>
    <n v="44"/>
    <x v="9"/>
    <x v="10"/>
    <x v="0"/>
    <x v="6"/>
    <x v="2"/>
    <x v="0"/>
    <x v="14"/>
    <x v="8"/>
    <x v="18"/>
    <x v="0"/>
  </r>
  <r>
    <x v="249"/>
    <x v="0"/>
    <n v="44"/>
    <x v="9"/>
    <x v="6"/>
    <x v="0"/>
    <x v="6"/>
    <x v="2"/>
    <x v="0"/>
    <x v="14"/>
    <x v="8"/>
    <x v="18"/>
    <x v="0"/>
  </r>
  <r>
    <x v="250"/>
    <x v="1"/>
    <n v="45"/>
    <x v="3"/>
    <x v="21"/>
    <x v="2"/>
    <x v="2"/>
    <x v="0"/>
    <x v="0"/>
    <x v="19"/>
    <x v="12"/>
    <x v="18"/>
    <x v="2"/>
  </r>
  <r>
    <x v="251"/>
    <x v="1"/>
    <n v="45"/>
    <x v="3"/>
    <x v="21"/>
    <x v="2"/>
    <x v="2"/>
    <x v="0"/>
    <x v="0"/>
    <x v="19"/>
    <x v="12"/>
    <x v="18"/>
    <x v="2"/>
  </r>
  <r>
    <x v="252"/>
    <x v="1"/>
    <n v="45"/>
    <x v="3"/>
    <x v="6"/>
    <x v="2"/>
    <x v="6"/>
    <x v="3"/>
    <x v="0"/>
    <x v="19"/>
    <x v="12"/>
    <x v="18"/>
    <x v="2"/>
  </r>
  <r>
    <x v="253"/>
    <x v="1"/>
    <n v="45"/>
    <x v="3"/>
    <x v="6"/>
    <x v="2"/>
    <x v="6"/>
    <x v="3"/>
    <x v="0"/>
    <x v="19"/>
    <x v="12"/>
    <x v="18"/>
    <x v="2"/>
  </r>
  <r>
    <x v="254"/>
    <x v="1"/>
    <n v="45"/>
    <x v="3"/>
    <x v="6"/>
    <x v="2"/>
    <x v="6"/>
    <x v="3"/>
    <x v="0"/>
    <x v="19"/>
    <x v="12"/>
    <x v="18"/>
    <x v="2"/>
  </r>
  <r>
    <x v="255"/>
    <x v="1"/>
    <n v="45"/>
    <x v="3"/>
    <x v="6"/>
    <x v="2"/>
    <x v="6"/>
    <x v="3"/>
    <x v="0"/>
    <x v="19"/>
    <x v="12"/>
    <x v="18"/>
    <x v="2"/>
  </r>
  <r>
    <x v="256"/>
    <x v="1"/>
    <n v="45"/>
    <x v="3"/>
    <x v="18"/>
    <x v="2"/>
    <x v="6"/>
    <x v="3"/>
    <x v="0"/>
    <x v="19"/>
    <x v="12"/>
    <x v="18"/>
    <x v="2"/>
  </r>
  <r>
    <x v="257"/>
    <x v="1"/>
    <n v="45"/>
    <x v="3"/>
    <x v="18"/>
    <x v="2"/>
    <x v="6"/>
    <x v="3"/>
    <x v="0"/>
    <x v="19"/>
    <x v="12"/>
    <x v="18"/>
    <x v="2"/>
  </r>
  <r>
    <x v="258"/>
    <x v="1"/>
    <n v="45"/>
    <x v="3"/>
    <x v="18"/>
    <x v="2"/>
    <x v="6"/>
    <x v="3"/>
    <x v="0"/>
    <x v="19"/>
    <x v="12"/>
    <x v="18"/>
    <x v="2"/>
  </r>
  <r>
    <x v="259"/>
    <x v="1"/>
    <n v="45"/>
    <x v="3"/>
    <x v="18"/>
    <x v="2"/>
    <x v="6"/>
    <x v="3"/>
    <x v="0"/>
    <x v="19"/>
    <x v="12"/>
    <x v="18"/>
    <x v="2"/>
  </r>
  <r>
    <x v="260"/>
    <x v="1"/>
    <n v="45"/>
    <x v="3"/>
    <x v="18"/>
    <x v="2"/>
    <x v="6"/>
    <x v="3"/>
    <x v="0"/>
    <x v="19"/>
    <x v="12"/>
    <x v="18"/>
    <x v="2"/>
  </r>
  <r>
    <x v="261"/>
    <x v="1"/>
    <n v="45"/>
    <x v="3"/>
    <x v="18"/>
    <x v="2"/>
    <x v="6"/>
    <x v="3"/>
    <x v="0"/>
    <x v="19"/>
    <x v="12"/>
    <x v="18"/>
    <x v="0"/>
  </r>
  <r>
    <x v="262"/>
    <x v="1"/>
    <n v="45"/>
    <x v="3"/>
    <x v="18"/>
    <x v="2"/>
    <x v="6"/>
    <x v="3"/>
    <x v="0"/>
    <x v="19"/>
    <x v="12"/>
    <x v="18"/>
    <x v="0"/>
  </r>
  <r>
    <x v="263"/>
    <x v="1"/>
    <n v="45"/>
    <x v="10"/>
    <x v="19"/>
    <x v="2"/>
    <x v="11"/>
    <x v="5"/>
    <x v="0"/>
    <x v="18"/>
    <x v="1"/>
    <x v="10"/>
    <x v="0"/>
  </r>
  <r>
    <x v="264"/>
    <x v="0"/>
    <n v="48"/>
    <x v="1"/>
    <x v="15"/>
    <x v="2"/>
    <x v="14"/>
    <x v="5"/>
    <x v="2"/>
    <x v="21"/>
    <x v="17"/>
    <x v="3"/>
    <x v="2"/>
  </r>
  <r>
    <x v="265"/>
    <x v="1"/>
    <n v="48"/>
    <x v="4"/>
    <x v="2"/>
    <x v="0"/>
    <x v="12"/>
    <x v="1"/>
    <x v="0"/>
    <x v="22"/>
    <x v="1"/>
    <x v="1"/>
    <x v="1"/>
  </r>
  <r>
    <x v="266"/>
    <x v="0"/>
    <n v="48"/>
    <x v="1"/>
    <x v="15"/>
    <x v="2"/>
    <x v="14"/>
    <x v="5"/>
    <x v="2"/>
    <x v="21"/>
    <x v="17"/>
    <x v="3"/>
    <x v="2"/>
  </r>
  <r>
    <x v="267"/>
    <x v="1"/>
    <n v="49"/>
    <x v="4"/>
    <x v="1"/>
    <x v="0"/>
    <x v="12"/>
    <x v="1"/>
    <x v="0"/>
    <x v="22"/>
    <x v="1"/>
    <x v="1"/>
    <x v="0"/>
  </r>
  <r>
    <x v="268"/>
    <x v="1"/>
    <n v="49"/>
    <x v="4"/>
    <x v="5"/>
    <x v="0"/>
    <x v="12"/>
    <x v="1"/>
    <x v="0"/>
    <x v="22"/>
    <x v="1"/>
    <x v="1"/>
    <x v="1"/>
  </r>
  <r>
    <x v="269"/>
    <x v="1"/>
    <n v="49"/>
    <x v="4"/>
    <x v="0"/>
    <x v="0"/>
    <x v="12"/>
    <x v="1"/>
    <x v="0"/>
    <x v="22"/>
    <x v="1"/>
    <x v="1"/>
    <x v="1"/>
  </r>
  <r>
    <x v="270"/>
    <x v="1"/>
    <n v="49"/>
    <x v="4"/>
    <x v="0"/>
    <x v="0"/>
    <x v="12"/>
    <x v="1"/>
    <x v="0"/>
    <x v="22"/>
    <x v="1"/>
    <x v="1"/>
    <x v="1"/>
  </r>
  <r>
    <x v="271"/>
    <x v="1"/>
    <n v="49"/>
    <x v="4"/>
    <x v="0"/>
    <x v="0"/>
    <x v="12"/>
    <x v="1"/>
    <x v="0"/>
    <x v="22"/>
    <x v="1"/>
    <x v="1"/>
    <x v="1"/>
  </r>
  <r>
    <x v="272"/>
    <x v="1"/>
    <n v="49"/>
    <x v="4"/>
    <x v="0"/>
    <x v="0"/>
    <x v="12"/>
    <x v="1"/>
    <x v="0"/>
    <x v="22"/>
    <x v="1"/>
    <x v="1"/>
    <x v="1"/>
  </r>
  <r>
    <x v="273"/>
    <x v="1"/>
    <n v="49"/>
    <x v="4"/>
    <x v="1"/>
    <x v="0"/>
    <x v="12"/>
    <x v="1"/>
    <x v="0"/>
    <x v="22"/>
    <x v="1"/>
    <x v="1"/>
    <x v="1"/>
  </r>
  <r>
    <x v="274"/>
    <x v="1"/>
    <n v="49"/>
    <x v="4"/>
    <x v="1"/>
    <x v="0"/>
    <x v="12"/>
    <x v="1"/>
    <x v="0"/>
    <x v="22"/>
    <x v="1"/>
    <x v="1"/>
    <x v="1"/>
  </r>
  <r>
    <x v="275"/>
    <x v="1"/>
    <n v="49"/>
    <x v="4"/>
    <x v="1"/>
    <x v="0"/>
    <x v="12"/>
    <x v="1"/>
    <x v="0"/>
    <x v="22"/>
    <x v="1"/>
    <x v="1"/>
    <x v="1"/>
  </r>
  <r>
    <x v="276"/>
    <x v="0"/>
    <n v="49"/>
    <x v="1"/>
    <x v="22"/>
    <x v="5"/>
    <x v="15"/>
    <x v="4"/>
    <x v="2"/>
    <x v="23"/>
    <x v="18"/>
    <x v="19"/>
    <x v="1"/>
  </r>
  <r>
    <x v="277"/>
    <x v="0"/>
    <n v="49"/>
    <x v="1"/>
    <x v="22"/>
    <x v="5"/>
    <x v="15"/>
    <x v="4"/>
    <x v="2"/>
    <x v="23"/>
    <x v="18"/>
    <x v="19"/>
    <x v="1"/>
  </r>
  <r>
    <x v="278"/>
    <x v="1"/>
    <n v="50"/>
    <x v="4"/>
    <x v="0"/>
    <x v="0"/>
    <x v="12"/>
    <x v="1"/>
    <x v="0"/>
    <x v="22"/>
    <x v="1"/>
    <x v="1"/>
    <x v="2"/>
  </r>
  <r>
    <x v="279"/>
    <x v="1"/>
    <n v="50"/>
    <x v="5"/>
    <x v="23"/>
    <x v="5"/>
    <x v="2"/>
    <x v="4"/>
    <x v="1"/>
    <x v="1"/>
    <x v="12"/>
    <x v="8"/>
    <x v="0"/>
  </r>
  <r>
    <x v="280"/>
    <x v="1"/>
    <n v="50"/>
    <x v="4"/>
    <x v="5"/>
    <x v="0"/>
    <x v="12"/>
    <x v="1"/>
    <x v="0"/>
    <x v="22"/>
    <x v="1"/>
    <x v="1"/>
    <x v="0"/>
  </r>
  <r>
    <x v="281"/>
    <x v="1"/>
    <n v="50"/>
    <x v="4"/>
    <x v="0"/>
    <x v="0"/>
    <x v="12"/>
    <x v="1"/>
    <x v="0"/>
    <x v="22"/>
    <x v="1"/>
    <x v="1"/>
    <x v="1"/>
  </r>
  <r>
    <x v="282"/>
    <x v="1"/>
    <n v="50"/>
    <x v="4"/>
    <x v="5"/>
    <x v="0"/>
    <x v="12"/>
    <x v="1"/>
    <x v="0"/>
    <x v="22"/>
    <x v="1"/>
    <x v="1"/>
    <x v="1"/>
  </r>
  <r>
    <x v="283"/>
    <x v="1"/>
    <n v="50"/>
    <x v="4"/>
    <x v="5"/>
    <x v="0"/>
    <x v="12"/>
    <x v="1"/>
    <x v="0"/>
    <x v="22"/>
    <x v="1"/>
    <x v="1"/>
    <x v="1"/>
  </r>
  <r>
    <x v="284"/>
    <x v="1"/>
    <n v="50"/>
    <x v="4"/>
    <x v="5"/>
    <x v="0"/>
    <x v="12"/>
    <x v="1"/>
    <x v="0"/>
    <x v="22"/>
    <x v="1"/>
    <x v="1"/>
    <x v="1"/>
  </r>
  <r>
    <x v="285"/>
    <x v="1"/>
    <n v="50"/>
    <x v="4"/>
    <x v="5"/>
    <x v="0"/>
    <x v="12"/>
    <x v="1"/>
    <x v="0"/>
    <x v="22"/>
    <x v="1"/>
    <x v="1"/>
    <x v="1"/>
  </r>
  <r>
    <x v="286"/>
    <x v="1"/>
    <n v="50"/>
    <x v="4"/>
    <x v="5"/>
    <x v="0"/>
    <x v="12"/>
    <x v="1"/>
    <x v="0"/>
    <x v="22"/>
    <x v="1"/>
    <x v="1"/>
    <x v="1"/>
  </r>
  <r>
    <x v="287"/>
    <x v="1"/>
    <n v="50"/>
    <x v="4"/>
    <x v="5"/>
    <x v="0"/>
    <x v="12"/>
    <x v="1"/>
    <x v="0"/>
    <x v="22"/>
    <x v="1"/>
    <x v="1"/>
    <x v="1"/>
  </r>
  <r>
    <x v="288"/>
    <x v="1"/>
    <n v="50"/>
    <x v="4"/>
    <x v="5"/>
    <x v="0"/>
    <x v="12"/>
    <x v="1"/>
    <x v="0"/>
    <x v="22"/>
    <x v="1"/>
    <x v="1"/>
    <x v="1"/>
  </r>
  <r>
    <x v="289"/>
    <x v="1"/>
    <n v="50"/>
    <x v="4"/>
    <x v="0"/>
    <x v="0"/>
    <x v="12"/>
    <x v="1"/>
    <x v="0"/>
    <x v="22"/>
    <x v="1"/>
    <x v="1"/>
    <x v="1"/>
  </r>
  <r>
    <x v="290"/>
    <x v="1"/>
    <n v="50"/>
    <x v="4"/>
    <x v="5"/>
    <x v="0"/>
    <x v="12"/>
    <x v="1"/>
    <x v="0"/>
    <x v="22"/>
    <x v="1"/>
    <x v="1"/>
    <x v="1"/>
  </r>
  <r>
    <x v="291"/>
    <x v="1"/>
    <n v="50"/>
    <x v="4"/>
    <x v="0"/>
    <x v="0"/>
    <x v="12"/>
    <x v="1"/>
    <x v="0"/>
    <x v="22"/>
    <x v="1"/>
    <x v="1"/>
    <x v="1"/>
  </r>
  <r>
    <x v="292"/>
    <x v="1"/>
    <n v="50"/>
    <x v="4"/>
    <x v="0"/>
    <x v="0"/>
    <x v="12"/>
    <x v="1"/>
    <x v="0"/>
    <x v="22"/>
    <x v="1"/>
    <x v="1"/>
    <x v="1"/>
  </r>
  <r>
    <x v="293"/>
    <x v="1"/>
    <n v="50"/>
    <x v="4"/>
    <x v="5"/>
    <x v="0"/>
    <x v="12"/>
    <x v="1"/>
    <x v="0"/>
    <x v="22"/>
    <x v="1"/>
    <x v="1"/>
    <x v="1"/>
  </r>
  <r>
    <x v="294"/>
    <x v="1"/>
    <n v="50"/>
    <x v="4"/>
    <x v="0"/>
    <x v="0"/>
    <x v="12"/>
    <x v="1"/>
    <x v="0"/>
    <x v="22"/>
    <x v="1"/>
    <x v="1"/>
    <x v="1"/>
  </r>
  <r>
    <x v="295"/>
    <x v="1"/>
    <n v="50"/>
    <x v="4"/>
    <x v="5"/>
    <x v="0"/>
    <x v="12"/>
    <x v="1"/>
    <x v="0"/>
    <x v="22"/>
    <x v="1"/>
    <x v="1"/>
    <x v="1"/>
  </r>
  <r>
    <x v="296"/>
    <x v="1"/>
    <n v="50"/>
    <x v="4"/>
    <x v="0"/>
    <x v="0"/>
    <x v="12"/>
    <x v="1"/>
    <x v="0"/>
    <x v="22"/>
    <x v="1"/>
    <x v="1"/>
    <x v="1"/>
  </r>
  <r>
    <x v="297"/>
    <x v="1"/>
    <n v="50"/>
    <x v="4"/>
    <x v="0"/>
    <x v="0"/>
    <x v="12"/>
    <x v="1"/>
    <x v="0"/>
    <x v="22"/>
    <x v="1"/>
    <x v="1"/>
    <x v="1"/>
  </r>
  <r>
    <x v="298"/>
    <x v="1"/>
    <n v="51"/>
    <x v="5"/>
    <x v="24"/>
    <x v="5"/>
    <x v="2"/>
    <x v="4"/>
    <x v="1"/>
    <x v="1"/>
    <x v="12"/>
    <x v="8"/>
    <x v="0"/>
  </r>
  <r>
    <x v="299"/>
    <x v="1"/>
    <n v="51"/>
    <x v="5"/>
    <x v="24"/>
    <x v="5"/>
    <x v="2"/>
    <x v="4"/>
    <x v="1"/>
    <x v="1"/>
    <x v="12"/>
    <x v="8"/>
    <x v="0"/>
  </r>
  <r>
    <x v="300"/>
    <x v="1"/>
    <n v="51"/>
    <x v="5"/>
    <x v="24"/>
    <x v="5"/>
    <x v="2"/>
    <x v="4"/>
    <x v="1"/>
    <x v="1"/>
    <x v="12"/>
    <x v="8"/>
    <x v="0"/>
  </r>
  <r>
    <x v="301"/>
    <x v="1"/>
    <n v="51"/>
    <x v="5"/>
    <x v="24"/>
    <x v="5"/>
    <x v="2"/>
    <x v="4"/>
    <x v="1"/>
    <x v="1"/>
    <x v="12"/>
    <x v="8"/>
    <x v="0"/>
  </r>
  <r>
    <x v="302"/>
    <x v="1"/>
    <n v="51"/>
    <x v="4"/>
    <x v="17"/>
    <x v="2"/>
    <x v="11"/>
    <x v="0"/>
    <x v="3"/>
    <x v="18"/>
    <x v="8"/>
    <x v="18"/>
    <x v="0"/>
  </r>
  <r>
    <x v="303"/>
    <x v="1"/>
    <n v="51"/>
    <x v="4"/>
    <x v="5"/>
    <x v="0"/>
    <x v="12"/>
    <x v="1"/>
    <x v="0"/>
    <x v="22"/>
    <x v="1"/>
    <x v="1"/>
    <x v="1"/>
  </r>
  <r>
    <x v="304"/>
    <x v="1"/>
    <n v="51"/>
    <x v="4"/>
    <x v="0"/>
    <x v="0"/>
    <x v="12"/>
    <x v="1"/>
    <x v="0"/>
    <x v="22"/>
    <x v="1"/>
    <x v="1"/>
    <x v="1"/>
  </r>
  <r>
    <x v="305"/>
    <x v="1"/>
    <n v="51"/>
    <x v="4"/>
    <x v="0"/>
    <x v="0"/>
    <x v="12"/>
    <x v="1"/>
    <x v="0"/>
    <x v="22"/>
    <x v="1"/>
    <x v="1"/>
    <x v="1"/>
  </r>
  <r>
    <x v="306"/>
    <x v="1"/>
    <n v="52"/>
    <x v="6"/>
    <x v="6"/>
    <x v="2"/>
    <x v="6"/>
    <x v="2"/>
    <x v="0"/>
    <x v="14"/>
    <x v="8"/>
    <x v="18"/>
    <x v="2"/>
  </r>
  <r>
    <x v="307"/>
    <x v="1"/>
    <n v="52"/>
    <x v="6"/>
    <x v="6"/>
    <x v="2"/>
    <x v="6"/>
    <x v="2"/>
    <x v="0"/>
    <x v="14"/>
    <x v="8"/>
    <x v="18"/>
    <x v="2"/>
  </r>
  <r>
    <x v="308"/>
    <x v="1"/>
    <n v="52"/>
    <x v="6"/>
    <x v="18"/>
    <x v="2"/>
    <x v="6"/>
    <x v="2"/>
    <x v="0"/>
    <x v="14"/>
    <x v="8"/>
    <x v="18"/>
    <x v="2"/>
  </r>
  <r>
    <x v="309"/>
    <x v="1"/>
    <n v="52"/>
    <x v="6"/>
    <x v="18"/>
    <x v="2"/>
    <x v="6"/>
    <x v="2"/>
    <x v="0"/>
    <x v="14"/>
    <x v="8"/>
    <x v="18"/>
    <x v="2"/>
  </r>
  <r>
    <x v="310"/>
    <x v="1"/>
    <n v="52"/>
    <x v="6"/>
    <x v="18"/>
    <x v="2"/>
    <x v="6"/>
    <x v="2"/>
    <x v="0"/>
    <x v="14"/>
    <x v="8"/>
    <x v="18"/>
    <x v="2"/>
  </r>
  <r>
    <x v="311"/>
    <x v="1"/>
    <n v="52"/>
    <x v="6"/>
    <x v="18"/>
    <x v="2"/>
    <x v="6"/>
    <x v="2"/>
    <x v="0"/>
    <x v="14"/>
    <x v="8"/>
    <x v="18"/>
    <x v="2"/>
  </r>
  <r>
    <x v="312"/>
    <x v="1"/>
    <n v="52"/>
    <x v="5"/>
    <x v="25"/>
    <x v="5"/>
    <x v="2"/>
    <x v="4"/>
    <x v="1"/>
    <x v="1"/>
    <x v="12"/>
    <x v="8"/>
    <x v="0"/>
  </r>
  <r>
    <x v="313"/>
    <x v="1"/>
    <n v="52"/>
    <x v="5"/>
    <x v="25"/>
    <x v="5"/>
    <x v="2"/>
    <x v="4"/>
    <x v="1"/>
    <x v="1"/>
    <x v="12"/>
    <x v="8"/>
    <x v="0"/>
  </r>
  <r>
    <x v="314"/>
    <x v="1"/>
    <n v="52"/>
    <x v="5"/>
    <x v="25"/>
    <x v="5"/>
    <x v="2"/>
    <x v="4"/>
    <x v="1"/>
    <x v="1"/>
    <x v="12"/>
    <x v="8"/>
    <x v="0"/>
  </r>
  <r>
    <x v="315"/>
    <x v="1"/>
    <n v="53"/>
    <x v="5"/>
    <x v="23"/>
    <x v="5"/>
    <x v="2"/>
    <x v="4"/>
    <x v="1"/>
    <x v="1"/>
    <x v="12"/>
    <x v="8"/>
    <x v="2"/>
  </r>
  <r>
    <x v="316"/>
    <x v="1"/>
    <n v="53"/>
    <x v="5"/>
    <x v="24"/>
    <x v="5"/>
    <x v="2"/>
    <x v="4"/>
    <x v="1"/>
    <x v="1"/>
    <x v="12"/>
    <x v="8"/>
    <x v="0"/>
  </r>
  <r>
    <x v="317"/>
    <x v="1"/>
    <n v="53"/>
    <x v="5"/>
    <x v="24"/>
    <x v="5"/>
    <x v="2"/>
    <x v="4"/>
    <x v="1"/>
    <x v="1"/>
    <x v="12"/>
    <x v="8"/>
    <x v="0"/>
  </r>
  <r>
    <x v="318"/>
    <x v="1"/>
    <n v="53"/>
    <x v="5"/>
    <x v="25"/>
    <x v="5"/>
    <x v="2"/>
    <x v="4"/>
    <x v="1"/>
    <x v="1"/>
    <x v="12"/>
    <x v="8"/>
    <x v="0"/>
  </r>
  <r>
    <x v="319"/>
    <x v="1"/>
    <n v="53"/>
    <x v="5"/>
    <x v="25"/>
    <x v="5"/>
    <x v="2"/>
    <x v="4"/>
    <x v="1"/>
    <x v="1"/>
    <x v="12"/>
    <x v="8"/>
    <x v="0"/>
  </r>
  <r>
    <x v="320"/>
    <x v="1"/>
    <n v="53"/>
    <x v="5"/>
    <x v="24"/>
    <x v="5"/>
    <x v="2"/>
    <x v="4"/>
    <x v="1"/>
    <x v="1"/>
    <x v="12"/>
    <x v="8"/>
    <x v="0"/>
  </r>
  <r>
    <x v="321"/>
    <x v="1"/>
    <n v="53"/>
    <x v="5"/>
    <x v="25"/>
    <x v="5"/>
    <x v="2"/>
    <x v="4"/>
    <x v="1"/>
    <x v="1"/>
    <x v="12"/>
    <x v="8"/>
    <x v="0"/>
  </r>
  <r>
    <x v="322"/>
    <x v="1"/>
    <n v="53"/>
    <x v="5"/>
    <x v="25"/>
    <x v="5"/>
    <x v="2"/>
    <x v="4"/>
    <x v="1"/>
    <x v="1"/>
    <x v="12"/>
    <x v="8"/>
    <x v="0"/>
  </r>
  <r>
    <x v="323"/>
    <x v="1"/>
    <n v="53"/>
    <x v="5"/>
    <x v="24"/>
    <x v="5"/>
    <x v="2"/>
    <x v="4"/>
    <x v="1"/>
    <x v="1"/>
    <x v="12"/>
    <x v="8"/>
    <x v="0"/>
  </r>
  <r>
    <x v="324"/>
    <x v="1"/>
    <n v="53"/>
    <x v="5"/>
    <x v="23"/>
    <x v="5"/>
    <x v="2"/>
    <x v="4"/>
    <x v="1"/>
    <x v="1"/>
    <x v="12"/>
    <x v="8"/>
    <x v="0"/>
  </r>
  <r>
    <x v="325"/>
    <x v="1"/>
    <n v="53"/>
    <x v="5"/>
    <x v="24"/>
    <x v="5"/>
    <x v="2"/>
    <x v="4"/>
    <x v="1"/>
    <x v="1"/>
    <x v="12"/>
    <x v="8"/>
    <x v="0"/>
  </r>
  <r>
    <x v="326"/>
    <x v="1"/>
    <n v="53"/>
    <x v="5"/>
    <x v="23"/>
    <x v="5"/>
    <x v="2"/>
    <x v="4"/>
    <x v="1"/>
    <x v="1"/>
    <x v="12"/>
    <x v="8"/>
    <x v="0"/>
  </r>
  <r>
    <x v="327"/>
    <x v="1"/>
    <n v="53"/>
    <x v="5"/>
    <x v="24"/>
    <x v="5"/>
    <x v="2"/>
    <x v="4"/>
    <x v="1"/>
    <x v="1"/>
    <x v="12"/>
    <x v="8"/>
    <x v="0"/>
  </r>
  <r>
    <x v="328"/>
    <x v="1"/>
    <n v="53"/>
    <x v="5"/>
    <x v="23"/>
    <x v="5"/>
    <x v="2"/>
    <x v="4"/>
    <x v="1"/>
    <x v="1"/>
    <x v="12"/>
    <x v="8"/>
    <x v="0"/>
  </r>
  <r>
    <x v="329"/>
    <x v="1"/>
    <n v="53"/>
    <x v="5"/>
    <x v="24"/>
    <x v="5"/>
    <x v="2"/>
    <x v="4"/>
    <x v="1"/>
    <x v="1"/>
    <x v="12"/>
    <x v="8"/>
    <x v="0"/>
  </r>
  <r>
    <x v="330"/>
    <x v="1"/>
    <n v="53"/>
    <x v="5"/>
    <x v="24"/>
    <x v="5"/>
    <x v="2"/>
    <x v="4"/>
    <x v="1"/>
    <x v="1"/>
    <x v="12"/>
    <x v="8"/>
    <x v="0"/>
  </r>
  <r>
    <x v="331"/>
    <x v="1"/>
    <n v="53"/>
    <x v="5"/>
    <x v="25"/>
    <x v="5"/>
    <x v="2"/>
    <x v="4"/>
    <x v="1"/>
    <x v="1"/>
    <x v="12"/>
    <x v="8"/>
    <x v="0"/>
  </r>
  <r>
    <x v="332"/>
    <x v="1"/>
    <n v="54"/>
    <x v="5"/>
    <x v="25"/>
    <x v="5"/>
    <x v="2"/>
    <x v="4"/>
    <x v="1"/>
    <x v="1"/>
    <x v="12"/>
    <x v="8"/>
    <x v="0"/>
  </r>
  <r>
    <x v="333"/>
    <x v="1"/>
    <n v="54"/>
    <x v="5"/>
    <x v="25"/>
    <x v="5"/>
    <x v="2"/>
    <x v="4"/>
    <x v="1"/>
    <x v="1"/>
    <x v="12"/>
    <x v="8"/>
    <x v="0"/>
  </r>
  <r>
    <x v="334"/>
    <x v="1"/>
    <n v="54"/>
    <x v="5"/>
    <x v="25"/>
    <x v="5"/>
    <x v="2"/>
    <x v="4"/>
    <x v="1"/>
    <x v="1"/>
    <x v="12"/>
    <x v="8"/>
    <x v="0"/>
  </r>
  <r>
    <x v="335"/>
    <x v="1"/>
    <n v="54"/>
    <x v="5"/>
    <x v="25"/>
    <x v="5"/>
    <x v="2"/>
    <x v="4"/>
    <x v="1"/>
    <x v="1"/>
    <x v="12"/>
    <x v="8"/>
    <x v="0"/>
  </r>
  <r>
    <x v="336"/>
    <x v="1"/>
    <n v="54"/>
    <x v="5"/>
    <x v="25"/>
    <x v="5"/>
    <x v="2"/>
    <x v="4"/>
    <x v="1"/>
    <x v="1"/>
    <x v="12"/>
    <x v="8"/>
    <x v="0"/>
  </r>
  <r>
    <x v="337"/>
    <x v="1"/>
    <n v="54"/>
    <x v="5"/>
    <x v="25"/>
    <x v="5"/>
    <x v="2"/>
    <x v="4"/>
    <x v="1"/>
    <x v="1"/>
    <x v="12"/>
    <x v="8"/>
    <x v="0"/>
  </r>
  <r>
    <x v="338"/>
    <x v="1"/>
    <n v="54"/>
    <x v="5"/>
    <x v="24"/>
    <x v="5"/>
    <x v="2"/>
    <x v="4"/>
    <x v="1"/>
    <x v="1"/>
    <x v="12"/>
    <x v="8"/>
    <x v="0"/>
  </r>
  <r>
    <x v="339"/>
    <x v="1"/>
    <n v="55"/>
    <x v="4"/>
    <x v="22"/>
    <x v="5"/>
    <x v="4"/>
    <x v="3"/>
    <x v="0"/>
    <x v="22"/>
    <x v="8"/>
    <x v="8"/>
    <x v="1"/>
  </r>
  <r>
    <x v="340"/>
    <x v="1"/>
    <n v="55"/>
    <x v="4"/>
    <x v="22"/>
    <x v="5"/>
    <x v="4"/>
    <x v="3"/>
    <x v="0"/>
    <x v="22"/>
    <x v="8"/>
    <x v="8"/>
    <x v="1"/>
  </r>
  <r>
    <x v="341"/>
    <x v="1"/>
    <n v="56"/>
    <x v="1"/>
    <x v="26"/>
    <x v="5"/>
    <x v="12"/>
    <x v="4"/>
    <x v="3"/>
    <x v="24"/>
    <x v="12"/>
    <x v="1"/>
    <x v="0"/>
  </r>
  <r>
    <x v="342"/>
    <x v="1"/>
    <n v="56"/>
    <x v="1"/>
    <x v="26"/>
    <x v="5"/>
    <x v="12"/>
    <x v="4"/>
    <x v="3"/>
    <x v="24"/>
    <x v="12"/>
    <x v="1"/>
    <x v="0"/>
  </r>
  <r>
    <x v="343"/>
    <x v="1"/>
    <n v="57"/>
    <x v="4"/>
    <x v="22"/>
    <x v="5"/>
    <x v="4"/>
    <x v="4"/>
    <x v="0"/>
    <x v="22"/>
    <x v="9"/>
    <x v="9"/>
    <x v="0"/>
  </r>
  <r>
    <x v="344"/>
    <x v="1"/>
    <n v="57"/>
    <x v="4"/>
    <x v="26"/>
    <x v="5"/>
    <x v="4"/>
    <x v="4"/>
    <x v="0"/>
    <x v="22"/>
    <x v="9"/>
    <x v="9"/>
    <x v="1"/>
  </r>
  <r>
    <x v="345"/>
    <x v="1"/>
    <n v="57"/>
    <x v="4"/>
    <x v="26"/>
    <x v="5"/>
    <x v="4"/>
    <x v="4"/>
    <x v="0"/>
    <x v="22"/>
    <x v="9"/>
    <x v="9"/>
    <x v="1"/>
  </r>
  <r>
    <x v="346"/>
    <x v="1"/>
    <n v="57"/>
    <x v="4"/>
    <x v="26"/>
    <x v="5"/>
    <x v="4"/>
    <x v="4"/>
    <x v="0"/>
    <x v="22"/>
    <x v="9"/>
    <x v="9"/>
    <x v="1"/>
  </r>
  <r>
    <x v="347"/>
    <x v="1"/>
    <n v="57"/>
    <x v="4"/>
    <x v="26"/>
    <x v="5"/>
    <x v="4"/>
    <x v="4"/>
    <x v="0"/>
    <x v="22"/>
    <x v="9"/>
    <x v="9"/>
    <x v="1"/>
  </r>
  <r>
    <x v="348"/>
    <x v="1"/>
    <n v="57"/>
    <x v="4"/>
    <x v="26"/>
    <x v="5"/>
    <x v="4"/>
    <x v="4"/>
    <x v="0"/>
    <x v="22"/>
    <x v="9"/>
    <x v="9"/>
    <x v="1"/>
  </r>
  <r>
    <x v="349"/>
    <x v="1"/>
    <n v="57"/>
    <x v="4"/>
    <x v="22"/>
    <x v="5"/>
    <x v="4"/>
    <x v="4"/>
    <x v="0"/>
    <x v="22"/>
    <x v="9"/>
    <x v="9"/>
    <x v="1"/>
  </r>
  <r>
    <x v="350"/>
    <x v="1"/>
    <n v="57"/>
    <x v="4"/>
    <x v="22"/>
    <x v="5"/>
    <x v="4"/>
    <x v="4"/>
    <x v="0"/>
    <x v="22"/>
    <x v="9"/>
    <x v="9"/>
    <x v="1"/>
  </r>
  <r>
    <x v="351"/>
    <x v="1"/>
    <n v="57"/>
    <x v="4"/>
    <x v="22"/>
    <x v="5"/>
    <x v="4"/>
    <x v="4"/>
    <x v="0"/>
    <x v="22"/>
    <x v="9"/>
    <x v="9"/>
    <x v="1"/>
  </r>
  <r>
    <x v="352"/>
    <x v="1"/>
    <n v="58"/>
    <x v="4"/>
    <x v="20"/>
    <x v="5"/>
    <x v="4"/>
    <x v="4"/>
    <x v="0"/>
    <x v="22"/>
    <x v="9"/>
    <x v="9"/>
    <x v="1"/>
  </r>
  <r>
    <x v="353"/>
    <x v="1"/>
    <n v="58"/>
    <x v="4"/>
    <x v="20"/>
    <x v="5"/>
    <x v="4"/>
    <x v="4"/>
    <x v="0"/>
    <x v="22"/>
    <x v="9"/>
    <x v="9"/>
    <x v="1"/>
  </r>
  <r>
    <x v="354"/>
    <x v="1"/>
    <n v="58"/>
    <x v="4"/>
    <x v="20"/>
    <x v="5"/>
    <x v="4"/>
    <x v="4"/>
    <x v="0"/>
    <x v="22"/>
    <x v="9"/>
    <x v="9"/>
    <x v="1"/>
  </r>
  <r>
    <x v="355"/>
    <x v="1"/>
    <n v="58"/>
    <x v="4"/>
    <x v="20"/>
    <x v="5"/>
    <x v="4"/>
    <x v="4"/>
    <x v="0"/>
    <x v="22"/>
    <x v="9"/>
    <x v="9"/>
    <x v="1"/>
  </r>
  <r>
    <x v="356"/>
    <x v="1"/>
    <n v="58"/>
    <x v="4"/>
    <x v="20"/>
    <x v="5"/>
    <x v="4"/>
    <x v="4"/>
    <x v="0"/>
    <x v="22"/>
    <x v="9"/>
    <x v="9"/>
    <x v="1"/>
  </r>
  <r>
    <x v="357"/>
    <x v="1"/>
    <n v="58"/>
    <x v="4"/>
    <x v="20"/>
    <x v="5"/>
    <x v="4"/>
    <x v="4"/>
    <x v="0"/>
    <x v="22"/>
    <x v="9"/>
    <x v="9"/>
    <x v="1"/>
  </r>
  <r>
    <x v="358"/>
    <x v="1"/>
    <n v="59"/>
    <x v="4"/>
    <x v="20"/>
    <x v="5"/>
    <x v="4"/>
    <x v="4"/>
    <x v="0"/>
    <x v="22"/>
    <x v="9"/>
    <x v="9"/>
    <x v="0"/>
  </r>
  <r>
    <x v="359"/>
    <x v="1"/>
    <n v="59"/>
    <x v="4"/>
    <x v="22"/>
    <x v="5"/>
    <x v="4"/>
    <x v="4"/>
    <x v="0"/>
    <x v="22"/>
    <x v="9"/>
    <x v="9"/>
    <x v="0"/>
  </r>
  <r>
    <x v="360"/>
    <x v="1"/>
    <n v="59"/>
    <x v="4"/>
    <x v="26"/>
    <x v="5"/>
    <x v="4"/>
    <x v="4"/>
    <x v="0"/>
    <x v="22"/>
    <x v="9"/>
    <x v="9"/>
    <x v="1"/>
  </r>
  <r>
    <x v="361"/>
    <x v="1"/>
    <n v="59"/>
    <x v="4"/>
    <x v="26"/>
    <x v="5"/>
    <x v="4"/>
    <x v="4"/>
    <x v="0"/>
    <x v="22"/>
    <x v="9"/>
    <x v="9"/>
    <x v="1"/>
  </r>
  <r>
    <x v="362"/>
    <x v="1"/>
    <n v="59"/>
    <x v="4"/>
    <x v="26"/>
    <x v="5"/>
    <x v="4"/>
    <x v="4"/>
    <x v="0"/>
    <x v="22"/>
    <x v="9"/>
    <x v="9"/>
    <x v="1"/>
  </r>
  <r>
    <x v="363"/>
    <x v="1"/>
    <n v="59"/>
    <x v="4"/>
    <x v="26"/>
    <x v="5"/>
    <x v="4"/>
    <x v="4"/>
    <x v="0"/>
    <x v="22"/>
    <x v="9"/>
    <x v="9"/>
    <x v="1"/>
  </r>
  <r>
    <x v="364"/>
    <x v="1"/>
    <n v="59"/>
    <x v="4"/>
    <x v="20"/>
    <x v="5"/>
    <x v="4"/>
    <x v="4"/>
    <x v="0"/>
    <x v="22"/>
    <x v="9"/>
    <x v="9"/>
    <x v="1"/>
  </r>
  <r>
    <x v="365"/>
    <x v="1"/>
    <n v="59"/>
    <x v="4"/>
    <x v="20"/>
    <x v="5"/>
    <x v="4"/>
    <x v="4"/>
    <x v="0"/>
    <x v="22"/>
    <x v="9"/>
    <x v="9"/>
    <x v="1"/>
  </r>
  <r>
    <x v="366"/>
    <x v="1"/>
    <n v="59"/>
    <x v="4"/>
    <x v="22"/>
    <x v="5"/>
    <x v="4"/>
    <x v="4"/>
    <x v="0"/>
    <x v="22"/>
    <x v="9"/>
    <x v="9"/>
    <x v="1"/>
  </r>
  <r>
    <x v="367"/>
    <x v="1"/>
    <n v="59"/>
    <x v="4"/>
    <x v="20"/>
    <x v="5"/>
    <x v="4"/>
    <x v="4"/>
    <x v="0"/>
    <x v="22"/>
    <x v="9"/>
    <x v="9"/>
    <x v="1"/>
  </r>
  <r>
    <x v="368"/>
    <x v="1"/>
    <n v="59"/>
    <x v="4"/>
    <x v="22"/>
    <x v="5"/>
    <x v="4"/>
    <x v="4"/>
    <x v="0"/>
    <x v="22"/>
    <x v="9"/>
    <x v="9"/>
    <x v="1"/>
  </r>
  <r>
    <x v="369"/>
    <x v="1"/>
    <n v="59"/>
    <x v="4"/>
    <x v="22"/>
    <x v="5"/>
    <x v="4"/>
    <x v="4"/>
    <x v="0"/>
    <x v="22"/>
    <x v="9"/>
    <x v="9"/>
    <x v="1"/>
  </r>
  <r>
    <x v="370"/>
    <x v="1"/>
    <n v="59"/>
    <x v="4"/>
    <x v="20"/>
    <x v="5"/>
    <x v="4"/>
    <x v="4"/>
    <x v="0"/>
    <x v="22"/>
    <x v="9"/>
    <x v="9"/>
    <x v="1"/>
  </r>
  <r>
    <x v="371"/>
    <x v="1"/>
    <n v="59"/>
    <x v="4"/>
    <x v="22"/>
    <x v="5"/>
    <x v="4"/>
    <x v="4"/>
    <x v="0"/>
    <x v="22"/>
    <x v="9"/>
    <x v="9"/>
    <x v="1"/>
  </r>
  <r>
    <x v="372"/>
    <x v="1"/>
    <n v="59"/>
    <x v="4"/>
    <x v="22"/>
    <x v="5"/>
    <x v="4"/>
    <x v="4"/>
    <x v="0"/>
    <x v="22"/>
    <x v="9"/>
    <x v="9"/>
    <x v="1"/>
  </r>
  <r>
    <x v="373"/>
    <x v="1"/>
    <n v="59"/>
    <x v="4"/>
    <x v="22"/>
    <x v="5"/>
    <x v="4"/>
    <x v="4"/>
    <x v="0"/>
    <x v="22"/>
    <x v="9"/>
    <x v="9"/>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n v="27"/>
    <x v="0"/>
    <x v="0"/>
    <x v="0"/>
    <x v="0"/>
    <x v="0"/>
    <x v="0"/>
    <x v="0"/>
    <x v="0"/>
    <x v="0"/>
    <x v="0"/>
  </r>
  <r>
    <n v="2"/>
    <x v="0"/>
    <n v="28"/>
    <x v="1"/>
    <x v="1"/>
    <x v="0"/>
    <x v="1"/>
    <x v="1"/>
    <x v="1"/>
    <x v="1"/>
    <x v="1"/>
    <x v="1"/>
    <x v="0"/>
  </r>
  <r>
    <n v="3"/>
    <x v="0"/>
    <n v="28"/>
    <x v="1"/>
    <x v="1"/>
    <x v="0"/>
    <x v="1"/>
    <x v="1"/>
    <x v="1"/>
    <x v="1"/>
    <x v="1"/>
    <x v="1"/>
    <x v="0"/>
  </r>
  <r>
    <n v="4"/>
    <x v="0"/>
    <n v="28"/>
    <x v="2"/>
    <x v="2"/>
    <x v="1"/>
    <x v="2"/>
    <x v="1"/>
    <x v="2"/>
    <x v="2"/>
    <x v="2"/>
    <x v="2"/>
    <x v="1"/>
  </r>
  <r>
    <n v="5"/>
    <x v="0"/>
    <n v="28"/>
    <x v="2"/>
    <x v="2"/>
    <x v="1"/>
    <x v="2"/>
    <x v="1"/>
    <x v="2"/>
    <x v="2"/>
    <x v="2"/>
    <x v="2"/>
    <x v="1"/>
  </r>
  <r>
    <n v="6"/>
    <x v="0"/>
    <n v="28"/>
    <x v="0"/>
    <x v="2"/>
    <x v="1"/>
    <x v="2"/>
    <x v="1"/>
    <x v="2"/>
    <x v="2"/>
    <x v="2"/>
    <x v="2"/>
    <x v="2"/>
  </r>
  <r>
    <n v="7"/>
    <x v="0"/>
    <n v="29"/>
    <x v="3"/>
    <x v="3"/>
    <x v="0"/>
    <x v="3"/>
    <x v="2"/>
    <x v="2"/>
    <x v="2"/>
    <x v="3"/>
    <x v="3"/>
    <x v="2"/>
  </r>
  <r>
    <n v="8"/>
    <x v="0"/>
    <n v="29"/>
    <x v="1"/>
    <x v="4"/>
    <x v="2"/>
    <x v="4"/>
    <x v="0"/>
    <x v="1"/>
    <x v="3"/>
    <x v="4"/>
    <x v="4"/>
    <x v="0"/>
  </r>
  <r>
    <n v="9"/>
    <x v="0"/>
    <n v="29"/>
    <x v="1"/>
    <x v="4"/>
    <x v="2"/>
    <x v="4"/>
    <x v="0"/>
    <x v="1"/>
    <x v="3"/>
    <x v="4"/>
    <x v="4"/>
    <x v="0"/>
  </r>
  <r>
    <n v="10"/>
    <x v="0"/>
    <n v="29"/>
    <x v="1"/>
    <x v="4"/>
    <x v="2"/>
    <x v="4"/>
    <x v="0"/>
    <x v="1"/>
    <x v="3"/>
    <x v="4"/>
    <x v="4"/>
    <x v="0"/>
  </r>
  <r>
    <n v="11"/>
    <x v="0"/>
    <n v="29"/>
    <x v="1"/>
    <x v="0"/>
    <x v="0"/>
    <x v="2"/>
    <x v="1"/>
    <x v="1"/>
    <x v="3"/>
    <x v="4"/>
    <x v="4"/>
    <x v="0"/>
  </r>
  <r>
    <n v="12"/>
    <x v="0"/>
    <n v="29"/>
    <x v="1"/>
    <x v="4"/>
    <x v="2"/>
    <x v="4"/>
    <x v="0"/>
    <x v="1"/>
    <x v="3"/>
    <x v="4"/>
    <x v="4"/>
    <x v="0"/>
  </r>
  <r>
    <n v="13"/>
    <x v="0"/>
    <n v="29"/>
    <x v="1"/>
    <x v="0"/>
    <x v="0"/>
    <x v="2"/>
    <x v="1"/>
    <x v="1"/>
    <x v="3"/>
    <x v="4"/>
    <x v="4"/>
    <x v="0"/>
  </r>
  <r>
    <n v="14"/>
    <x v="0"/>
    <n v="29"/>
    <x v="1"/>
    <x v="5"/>
    <x v="0"/>
    <x v="2"/>
    <x v="1"/>
    <x v="1"/>
    <x v="3"/>
    <x v="4"/>
    <x v="4"/>
    <x v="0"/>
  </r>
  <r>
    <n v="15"/>
    <x v="0"/>
    <n v="29"/>
    <x v="1"/>
    <x v="5"/>
    <x v="0"/>
    <x v="2"/>
    <x v="1"/>
    <x v="1"/>
    <x v="3"/>
    <x v="4"/>
    <x v="4"/>
    <x v="0"/>
  </r>
  <r>
    <n v="16"/>
    <x v="0"/>
    <n v="29"/>
    <x v="1"/>
    <x v="5"/>
    <x v="0"/>
    <x v="2"/>
    <x v="1"/>
    <x v="1"/>
    <x v="3"/>
    <x v="4"/>
    <x v="4"/>
    <x v="0"/>
  </r>
  <r>
    <n v="17"/>
    <x v="1"/>
    <n v="29"/>
    <x v="4"/>
    <x v="6"/>
    <x v="3"/>
    <x v="3"/>
    <x v="2"/>
    <x v="3"/>
    <x v="4"/>
    <x v="5"/>
    <x v="5"/>
    <x v="1"/>
  </r>
  <r>
    <n v="18"/>
    <x v="0"/>
    <n v="29"/>
    <x v="1"/>
    <x v="5"/>
    <x v="0"/>
    <x v="2"/>
    <x v="1"/>
    <x v="1"/>
    <x v="3"/>
    <x v="4"/>
    <x v="4"/>
    <x v="1"/>
  </r>
  <r>
    <n v="19"/>
    <x v="1"/>
    <n v="29"/>
    <x v="4"/>
    <x v="6"/>
    <x v="3"/>
    <x v="3"/>
    <x v="2"/>
    <x v="3"/>
    <x v="4"/>
    <x v="5"/>
    <x v="5"/>
    <x v="2"/>
  </r>
  <r>
    <n v="20"/>
    <x v="0"/>
    <n v="30"/>
    <x v="1"/>
    <x v="7"/>
    <x v="2"/>
    <x v="4"/>
    <x v="0"/>
    <x v="1"/>
    <x v="3"/>
    <x v="4"/>
    <x v="4"/>
    <x v="0"/>
  </r>
  <r>
    <n v="21"/>
    <x v="0"/>
    <n v="30"/>
    <x v="1"/>
    <x v="8"/>
    <x v="2"/>
    <x v="4"/>
    <x v="0"/>
    <x v="1"/>
    <x v="3"/>
    <x v="4"/>
    <x v="4"/>
    <x v="0"/>
  </r>
  <r>
    <n v="22"/>
    <x v="0"/>
    <n v="30"/>
    <x v="1"/>
    <x v="8"/>
    <x v="2"/>
    <x v="4"/>
    <x v="0"/>
    <x v="1"/>
    <x v="3"/>
    <x v="4"/>
    <x v="4"/>
    <x v="0"/>
  </r>
  <r>
    <n v="23"/>
    <x v="0"/>
    <n v="30"/>
    <x v="1"/>
    <x v="8"/>
    <x v="2"/>
    <x v="4"/>
    <x v="0"/>
    <x v="1"/>
    <x v="3"/>
    <x v="4"/>
    <x v="4"/>
    <x v="0"/>
  </r>
  <r>
    <n v="24"/>
    <x v="0"/>
    <n v="30"/>
    <x v="1"/>
    <x v="8"/>
    <x v="2"/>
    <x v="4"/>
    <x v="0"/>
    <x v="1"/>
    <x v="3"/>
    <x v="4"/>
    <x v="4"/>
    <x v="0"/>
  </r>
  <r>
    <n v="25"/>
    <x v="0"/>
    <n v="30"/>
    <x v="1"/>
    <x v="4"/>
    <x v="2"/>
    <x v="4"/>
    <x v="0"/>
    <x v="1"/>
    <x v="3"/>
    <x v="4"/>
    <x v="4"/>
    <x v="0"/>
  </r>
  <r>
    <n v="26"/>
    <x v="0"/>
    <n v="30"/>
    <x v="1"/>
    <x v="9"/>
    <x v="2"/>
    <x v="4"/>
    <x v="0"/>
    <x v="1"/>
    <x v="3"/>
    <x v="4"/>
    <x v="4"/>
    <x v="0"/>
  </r>
  <r>
    <n v="27"/>
    <x v="0"/>
    <n v="30"/>
    <x v="1"/>
    <x v="4"/>
    <x v="2"/>
    <x v="4"/>
    <x v="0"/>
    <x v="1"/>
    <x v="3"/>
    <x v="4"/>
    <x v="4"/>
    <x v="0"/>
  </r>
  <r>
    <n v="28"/>
    <x v="0"/>
    <n v="30"/>
    <x v="1"/>
    <x v="9"/>
    <x v="2"/>
    <x v="4"/>
    <x v="0"/>
    <x v="1"/>
    <x v="3"/>
    <x v="4"/>
    <x v="4"/>
    <x v="0"/>
  </r>
  <r>
    <n v="29"/>
    <x v="0"/>
    <n v="30"/>
    <x v="1"/>
    <x v="9"/>
    <x v="2"/>
    <x v="4"/>
    <x v="0"/>
    <x v="1"/>
    <x v="3"/>
    <x v="4"/>
    <x v="4"/>
    <x v="0"/>
  </r>
  <r>
    <n v="30"/>
    <x v="0"/>
    <n v="30"/>
    <x v="1"/>
    <x v="9"/>
    <x v="2"/>
    <x v="4"/>
    <x v="0"/>
    <x v="1"/>
    <x v="3"/>
    <x v="4"/>
    <x v="4"/>
    <x v="0"/>
  </r>
  <r>
    <n v="31"/>
    <x v="1"/>
    <n v="30"/>
    <x v="4"/>
    <x v="10"/>
    <x v="3"/>
    <x v="5"/>
    <x v="2"/>
    <x v="3"/>
    <x v="5"/>
    <x v="6"/>
    <x v="6"/>
    <x v="1"/>
  </r>
  <r>
    <n v="32"/>
    <x v="1"/>
    <n v="30"/>
    <x v="4"/>
    <x v="10"/>
    <x v="3"/>
    <x v="5"/>
    <x v="2"/>
    <x v="3"/>
    <x v="5"/>
    <x v="6"/>
    <x v="6"/>
    <x v="2"/>
  </r>
  <r>
    <n v="33"/>
    <x v="1"/>
    <n v="31"/>
    <x v="4"/>
    <x v="9"/>
    <x v="4"/>
    <x v="4"/>
    <x v="3"/>
    <x v="3"/>
    <x v="6"/>
    <x v="7"/>
    <x v="7"/>
    <x v="0"/>
  </r>
  <r>
    <n v="34"/>
    <x v="0"/>
    <n v="31"/>
    <x v="1"/>
    <x v="0"/>
    <x v="0"/>
    <x v="2"/>
    <x v="1"/>
    <x v="1"/>
    <x v="1"/>
    <x v="8"/>
    <x v="8"/>
    <x v="0"/>
  </r>
  <r>
    <n v="35"/>
    <x v="0"/>
    <n v="31"/>
    <x v="1"/>
    <x v="8"/>
    <x v="2"/>
    <x v="4"/>
    <x v="0"/>
    <x v="1"/>
    <x v="3"/>
    <x v="4"/>
    <x v="4"/>
    <x v="0"/>
  </r>
  <r>
    <n v="36"/>
    <x v="0"/>
    <n v="31"/>
    <x v="1"/>
    <x v="0"/>
    <x v="0"/>
    <x v="2"/>
    <x v="1"/>
    <x v="1"/>
    <x v="1"/>
    <x v="8"/>
    <x v="8"/>
    <x v="0"/>
  </r>
  <r>
    <n v="37"/>
    <x v="0"/>
    <n v="31"/>
    <x v="1"/>
    <x v="0"/>
    <x v="0"/>
    <x v="2"/>
    <x v="1"/>
    <x v="1"/>
    <x v="1"/>
    <x v="8"/>
    <x v="8"/>
    <x v="0"/>
  </r>
  <r>
    <n v="38"/>
    <x v="0"/>
    <n v="31"/>
    <x v="1"/>
    <x v="7"/>
    <x v="2"/>
    <x v="4"/>
    <x v="0"/>
    <x v="1"/>
    <x v="3"/>
    <x v="4"/>
    <x v="4"/>
    <x v="0"/>
  </r>
  <r>
    <n v="39"/>
    <x v="0"/>
    <n v="31"/>
    <x v="1"/>
    <x v="7"/>
    <x v="2"/>
    <x v="4"/>
    <x v="0"/>
    <x v="1"/>
    <x v="3"/>
    <x v="4"/>
    <x v="4"/>
    <x v="0"/>
  </r>
  <r>
    <n v="40"/>
    <x v="0"/>
    <n v="31"/>
    <x v="1"/>
    <x v="7"/>
    <x v="2"/>
    <x v="4"/>
    <x v="0"/>
    <x v="1"/>
    <x v="3"/>
    <x v="4"/>
    <x v="4"/>
    <x v="0"/>
  </r>
  <r>
    <n v="41"/>
    <x v="0"/>
    <n v="31"/>
    <x v="1"/>
    <x v="8"/>
    <x v="2"/>
    <x v="4"/>
    <x v="0"/>
    <x v="1"/>
    <x v="3"/>
    <x v="4"/>
    <x v="4"/>
    <x v="0"/>
  </r>
  <r>
    <n v="42"/>
    <x v="0"/>
    <n v="31"/>
    <x v="1"/>
    <x v="8"/>
    <x v="2"/>
    <x v="4"/>
    <x v="0"/>
    <x v="1"/>
    <x v="3"/>
    <x v="4"/>
    <x v="4"/>
    <x v="0"/>
  </r>
  <r>
    <n v="43"/>
    <x v="0"/>
    <n v="31"/>
    <x v="1"/>
    <x v="8"/>
    <x v="2"/>
    <x v="4"/>
    <x v="0"/>
    <x v="1"/>
    <x v="3"/>
    <x v="4"/>
    <x v="4"/>
    <x v="0"/>
  </r>
  <r>
    <n v="44"/>
    <x v="0"/>
    <n v="31"/>
    <x v="1"/>
    <x v="4"/>
    <x v="2"/>
    <x v="4"/>
    <x v="0"/>
    <x v="1"/>
    <x v="3"/>
    <x v="4"/>
    <x v="4"/>
    <x v="0"/>
  </r>
  <r>
    <n v="45"/>
    <x v="0"/>
    <n v="31"/>
    <x v="1"/>
    <x v="8"/>
    <x v="2"/>
    <x v="4"/>
    <x v="0"/>
    <x v="1"/>
    <x v="3"/>
    <x v="4"/>
    <x v="4"/>
    <x v="0"/>
  </r>
  <r>
    <n v="46"/>
    <x v="0"/>
    <n v="31"/>
    <x v="1"/>
    <x v="4"/>
    <x v="2"/>
    <x v="4"/>
    <x v="0"/>
    <x v="1"/>
    <x v="3"/>
    <x v="4"/>
    <x v="4"/>
    <x v="0"/>
  </r>
  <r>
    <n v="47"/>
    <x v="0"/>
    <n v="31"/>
    <x v="1"/>
    <x v="8"/>
    <x v="2"/>
    <x v="4"/>
    <x v="0"/>
    <x v="1"/>
    <x v="3"/>
    <x v="4"/>
    <x v="4"/>
    <x v="0"/>
  </r>
  <r>
    <n v="48"/>
    <x v="0"/>
    <n v="31"/>
    <x v="1"/>
    <x v="4"/>
    <x v="2"/>
    <x v="4"/>
    <x v="0"/>
    <x v="1"/>
    <x v="3"/>
    <x v="4"/>
    <x v="4"/>
    <x v="0"/>
  </r>
  <r>
    <n v="49"/>
    <x v="0"/>
    <n v="31"/>
    <x v="1"/>
    <x v="8"/>
    <x v="2"/>
    <x v="4"/>
    <x v="0"/>
    <x v="1"/>
    <x v="3"/>
    <x v="4"/>
    <x v="4"/>
    <x v="0"/>
  </r>
  <r>
    <n v="50"/>
    <x v="0"/>
    <n v="31"/>
    <x v="1"/>
    <x v="8"/>
    <x v="2"/>
    <x v="4"/>
    <x v="0"/>
    <x v="1"/>
    <x v="3"/>
    <x v="4"/>
    <x v="4"/>
    <x v="1"/>
  </r>
  <r>
    <n v="51"/>
    <x v="0"/>
    <n v="32"/>
    <x v="5"/>
    <x v="11"/>
    <x v="4"/>
    <x v="6"/>
    <x v="4"/>
    <x v="1"/>
    <x v="3"/>
    <x v="4"/>
    <x v="4"/>
    <x v="0"/>
  </r>
  <r>
    <n v="52"/>
    <x v="0"/>
    <n v="32"/>
    <x v="5"/>
    <x v="11"/>
    <x v="4"/>
    <x v="6"/>
    <x v="4"/>
    <x v="1"/>
    <x v="3"/>
    <x v="4"/>
    <x v="4"/>
    <x v="0"/>
  </r>
  <r>
    <n v="53"/>
    <x v="0"/>
    <n v="32"/>
    <x v="1"/>
    <x v="5"/>
    <x v="0"/>
    <x v="2"/>
    <x v="1"/>
    <x v="1"/>
    <x v="1"/>
    <x v="8"/>
    <x v="8"/>
    <x v="0"/>
  </r>
  <r>
    <n v="54"/>
    <x v="0"/>
    <n v="32"/>
    <x v="1"/>
    <x v="7"/>
    <x v="2"/>
    <x v="4"/>
    <x v="0"/>
    <x v="1"/>
    <x v="3"/>
    <x v="4"/>
    <x v="4"/>
    <x v="0"/>
  </r>
  <r>
    <n v="55"/>
    <x v="0"/>
    <n v="32"/>
    <x v="1"/>
    <x v="5"/>
    <x v="0"/>
    <x v="2"/>
    <x v="1"/>
    <x v="1"/>
    <x v="1"/>
    <x v="8"/>
    <x v="8"/>
    <x v="0"/>
  </r>
  <r>
    <n v="56"/>
    <x v="0"/>
    <n v="32"/>
    <x v="1"/>
    <x v="5"/>
    <x v="0"/>
    <x v="2"/>
    <x v="1"/>
    <x v="1"/>
    <x v="1"/>
    <x v="8"/>
    <x v="8"/>
    <x v="0"/>
  </r>
  <r>
    <n v="57"/>
    <x v="0"/>
    <n v="32"/>
    <x v="1"/>
    <x v="8"/>
    <x v="2"/>
    <x v="4"/>
    <x v="0"/>
    <x v="1"/>
    <x v="3"/>
    <x v="4"/>
    <x v="4"/>
    <x v="0"/>
  </r>
  <r>
    <n v="58"/>
    <x v="0"/>
    <n v="32"/>
    <x v="1"/>
    <x v="5"/>
    <x v="0"/>
    <x v="2"/>
    <x v="1"/>
    <x v="1"/>
    <x v="1"/>
    <x v="8"/>
    <x v="8"/>
    <x v="0"/>
  </r>
  <r>
    <n v="59"/>
    <x v="0"/>
    <n v="32"/>
    <x v="1"/>
    <x v="5"/>
    <x v="0"/>
    <x v="2"/>
    <x v="1"/>
    <x v="1"/>
    <x v="1"/>
    <x v="8"/>
    <x v="8"/>
    <x v="0"/>
  </r>
  <r>
    <n v="60"/>
    <x v="0"/>
    <n v="32"/>
    <x v="1"/>
    <x v="8"/>
    <x v="2"/>
    <x v="4"/>
    <x v="0"/>
    <x v="1"/>
    <x v="3"/>
    <x v="4"/>
    <x v="4"/>
    <x v="0"/>
  </r>
  <r>
    <n v="61"/>
    <x v="0"/>
    <n v="32"/>
    <x v="1"/>
    <x v="5"/>
    <x v="0"/>
    <x v="2"/>
    <x v="1"/>
    <x v="1"/>
    <x v="1"/>
    <x v="8"/>
    <x v="8"/>
    <x v="0"/>
  </r>
  <r>
    <n v="62"/>
    <x v="0"/>
    <n v="32"/>
    <x v="1"/>
    <x v="5"/>
    <x v="0"/>
    <x v="2"/>
    <x v="1"/>
    <x v="1"/>
    <x v="1"/>
    <x v="8"/>
    <x v="8"/>
    <x v="0"/>
  </r>
  <r>
    <n v="63"/>
    <x v="0"/>
    <n v="32"/>
    <x v="1"/>
    <x v="1"/>
    <x v="0"/>
    <x v="2"/>
    <x v="1"/>
    <x v="1"/>
    <x v="1"/>
    <x v="8"/>
    <x v="8"/>
    <x v="0"/>
  </r>
  <r>
    <n v="64"/>
    <x v="0"/>
    <n v="32"/>
    <x v="1"/>
    <x v="1"/>
    <x v="0"/>
    <x v="2"/>
    <x v="1"/>
    <x v="1"/>
    <x v="1"/>
    <x v="8"/>
    <x v="8"/>
    <x v="0"/>
  </r>
  <r>
    <n v="65"/>
    <x v="0"/>
    <n v="32"/>
    <x v="1"/>
    <x v="1"/>
    <x v="0"/>
    <x v="2"/>
    <x v="1"/>
    <x v="1"/>
    <x v="1"/>
    <x v="8"/>
    <x v="8"/>
    <x v="0"/>
  </r>
  <r>
    <n v="66"/>
    <x v="0"/>
    <n v="32"/>
    <x v="1"/>
    <x v="1"/>
    <x v="0"/>
    <x v="2"/>
    <x v="1"/>
    <x v="1"/>
    <x v="1"/>
    <x v="8"/>
    <x v="8"/>
    <x v="0"/>
  </r>
  <r>
    <n v="67"/>
    <x v="0"/>
    <n v="32"/>
    <x v="6"/>
    <x v="12"/>
    <x v="4"/>
    <x v="7"/>
    <x v="0"/>
    <x v="3"/>
    <x v="7"/>
    <x v="9"/>
    <x v="9"/>
    <x v="0"/>
  </r>
  <r>
    <n v="68"/>
    <x v="0"/>
    <n v="33"/>
    <x v="1"/>
    <x v="5"/>
    <x v="0"/>
    <x v="2"/>
    <x v="1"/>
    <x v="1"/>
    <x v="1"/>
    <x v="8"/>
    <x v="8"/>
    <x v="2"/>
  </r>
  <r>
    <n v="69"/>
    <x v="1"/>
    <n v="33"/>
    <x v="7"/>
    <x v="1"/>
    <x v="0"/>
    <x v="7"/>
    <x v="0"/>
    <x v="0"/>
    <x v="8"/>
    <x v="10"/>
    <x v="10"/>
    <x v="0"/>
  </r>
  <r>
    <n v="70"/>
    <x v="1"/>
    <n v="33"/>
    <x v="7"/>
    <x v="1"/>
    <x v="0"/>
    <x v="7"/>
    <x v="0"/>
    <x v="0"/>
    <x v="8"/>
    <x v="10"/>
    <x v="10"/>
    <x v="0"/>
  </r>
  <r>
    <n v="71"/>
    <x v="0"/>
    <n v="33"/>
    <x v="1"/>
    <x v="0"/>
    <x v="0"/>
    <x v="2"/>
    <x v="1"/>
    <x v="1"/>
    <x v="1"/>
    <x v="8"/>
    <x v="8"/>
    <x v="0"/>
  </r>
  <r>
    <n v="72"/>
    <x v="0"/>
    <n v="33"/>
    <x v="1"/>
    <x v="0"/>
    <x v="0"/>
    <x v="2"/>
    <x v="1"/>
    <x v="1"/>
    <x v="1"/>
    <x v="8"/>
    <x v="8"/>
    <x v="0"/>
  </r>
  <r>
    <n v="73"/>
    <x v="0"/>
    <n v="33"/>
    <x v="1"/>
    <x v="0"/>
    <x v="0"/>
    <x v="2"/>
    <x v="1"/>
    <x v="1"/>
    <x v="1"/>
    <x v="8"/>
    <x v="8"/>
    <x v="0"/>
  </r>
  <r>
    <n v="74"/>
    <x v="0"/>
    <n v="33"/>
    <x v="1"/>
    <x v="0"/>
    <x v="0"/>
    <x v="2"/>
    <x v="1"/>
    <x v="1"/>
    <x v="1"/>
    <x v="8"/>
    <x v="8"/>
    <x v="0"/>
  </r>
  <r>
    <n v="75"/>
    <x v="0"/>
    <n v="33"/>
    <x v="1"/>
    <x v="5"/>
    <x v="0"/>
    <x v="2"/>
    <x v="1"/>
    <x v="1"/>
    <x v="1"/>
    <x v="8"/>
    <x v="8"/>
    <x v="0"/>
  </r>
  <r>
    <n v="76"/>
    <x v="0"/>
    <n v="33"/>
    <x v="1"/>
    <x v="5"/>
    <x v="0"/>
    <x v="2"/>
    <x v="1"/>
    <x v="1"/>
    <x v="1"/>
    <x v="8"/>
    <x v="8"/>
    <x v="0"/>
  </r>
  <r>
    <n v="77"/>
    <x v="0"/>
    <n v="33"/>
    <x v="1"/>
    <x v="5"/>
    <x v="0"/>
    <x v="2"/>
    <x v="1"/>
    <x v="1"/>
    <x v="1"/>
    <x v="8"/>
    <x v="8"/>
    <x v="0"/>
  </r>
  <r>
    <n v="78"/>
    <x v="0"/>
    <n v="33"/>
    <x v="1"/>
    <x v="5"/>
    <x v="0"/>
    <x v="2"/>
    <x v="1"/>
    <x v="1"/>
    <x v="1"/>
    <x v="8"/>
    <x v="8"/>
    <x v="0"/>
  </r>
  <r>
    <n v="79"/>
    <x v="0"/>
    <n v="33"/>
    <x v="1"/>
    <x v="5"/>
    <x v="0"/>
    <x v="2"/>
    <x v="1"/>
    <x v="1"/>
    <x v="1"/>
    <x v="8"/>
    <x v="8"/>
    <x v="0"/>
  </r>
  <r>
    <n v="80"/>
    <x v="0"/>
    <n v="33"/>
    <x v="1"/>
    <x v="5"/>
    <x v="0"/>
    <x v="2"/>
    <x v="1"/>
    <x v="1"/>
    <x v="1"/>
    <x v="8"/>
    <x v="8"/>
    <x v="0"/>
  </r>
  <r>
    <n v="81"/>
    <x v="1"/>
    <n v="34"/>
    <x v="7"/>
    <x v="13"/>
    <x v="1"/>
    <x v="8"/>
    <x v="1"/>
    <x v="0"/>
    <x v="9"/>
    <x v="11"/>
    <x v="11"/>
    <x v="1"/>
  </r>
  <r>
    <n v="82"/>
    <x v="1"/>
    <n v="34"/>
    <x v="7"/>
    <x v="13"/>
    <x v="1"/>
    <x v="8"/>
    <x v="1"/>
    <x v="0"/>
    <x v="9"/>
    <x v="11"/>
    <x v="11"/>
    <x v="1"/>
  </r>
  <r>
    <n v="83"/>
    <x v="0"/>
    <n v="35"/>
    <x v="3"/>
    <x v="14"/>
    <x v="2"/>
    <x v="3"/>
    <x v="5"/>
    <x v="0"/>
    <x v="10"/>
    <x v="4"/>
    <x v="12"/>
    <x v="0"/>
  </r>
  <r>
    <n v="84"/>
    <x v="0"/>
    <n v="35"/>
    <x v="3"/>
    <x v="14"/>
    <x v="2"/>
    <x v="3"/>
    <x v="5"/>
    <x v="0"/>
    <x v="10"/>
    <x v="4"/>
    <x v="12"/>
    <x v="0"/>
  </r>
  <r>
    <n v="85"/>
    <x v="0"/>
    <n v="35"/>
    <x v="0"/>
    <x v="11"/>
    <x v="4"/>
    <x v="1"/>
    <x v="5"/>
    <x v="3"/>
    <x v="3"/>
    <x v="4"/>
    <x v="4"/>
    <x v="0"/>
  </r>
  <r>
    <n v="86"/>
    <x v="1"/>
    <n v="35"/>
    <x v="6"/>
    <x v="12"/>
    <x v="4"/>
    <x v="1"/>
    <x v="3"/>
    <x v="1"/>
    <x v="11"/>
    <x v="9"/>
    <x v="9"/>
    <x v="0"/>
  </r>
  <r>
    <n v="87"/>
    <x v="0"/>
    <n v="35"/>
    <x v="5"/>
    <x v="12"/>
    <x v="4"/>
    <x v="1"/>
    <x v="3"/>
    <x v="1"/>
    <x v="1"/>
    <x v="12"/>
    <x v="8"/>
    <x v="0"/>
  </r>
  <r>
    <n v="88"/>
    <x v="0"/>
    <n v="35"/>
    <x v="5"/>
    <x v="12"/>
    <x v="4"/>
    <x v="1"/>
    <x v="3"/>
    <x v="1"/>
    <x v="1"/>
    <x v="12"/>
    <x v="8"/>
    <x v="0"/>
  </r>
  <r>
    <n v="89"/>
    <x v="0"/>
    <n v="35"/>
    <x v="5"/>
    <x v="15"/>
    <x v="4"/>
    <x v="1"/>
    <x v="3"/>
    <x v="1"/>
    <x v="1"/>
    <x v="12"/>
    <x v="8"/>
    <x v="0"/>
  </r>
  <r>
    <n v="90"/>
    <x v="0"/>
    <n v="35"/>
    <x v="5"/>
    <x v="15"/>
    <x v="4"/>
    <x v="1"/>
    <x v="3"/>
    <x v="1"/>
    <x v="1"/>
    <x v="12"/>
    <x v="8"/>
    <x v="0"/>
  </r>
  <r>
    <n v="91"/>
    <x v="0"/>
    <n v="35"/>
    <x v="5"/>
    <x v="15"/>
    <x v="4"/>
    <x v="1"/>
    <x v="3"/>
    <x v="1"/>
    <x v="1"/>
    <x v="12"/>
    <x v="8"/>
    <x v="0"/>
  </r>
  <r>
    <n v="92"/>
    <x v="0"/>
    <n v="35"/>
    <x v="5"/>
    <x v="15"/>
    <x v="4"/>
    <x v="1"/>
    <x v="3"/>
    <x v="1"/>
    <x v="1"/>
    <x v="12"/>
    <x v="8"/>
    <x v="0"/>
  </r>
  <r>
    <n v="93"/>
    <x v="0"/>
    <n v="35"/>
    <x v="0"/>
    <x v="11"/>
    <x v="4"/>
    <x v="1"/>
    <x v="5"/>
    <x v="3"/>
    <x v="3"/>
    <x v="4"/>
    <x v="4"/>
    <x v="0"/>
  </r>
  <r>
    <n v="94"/>
    <x v="0"/>
    <n v="35"/>
    <x v="8"/>
    <x v="16"/>
    <x v="2"/>
    <x v="1"/>
    <x v="5"/>
    <x v="2"/>
    <x v="12"/>
    <x v="13"/>
    <x v="13"/>
    <x v="1"/>
  </r>
  <r>
    <n v="95"/>
    <x v="1"/>
    <n v="36"/>
    <x v="6"/>
    <x v="12"/>
    <x v="4"/>
    <x v="1"/>
    <x v="3"/>
    <x v="1"/>
    <x v="11"/>
    <x v="9"/>
    <x v="9"/>
    <x v="2"/>
  </r>
  <r>
    <n v="96"/>
    <x v="1"/>
    <n v="36"/>
    <x v="6"/>
    <x v="17"/>
    <x v="4"/>
    <x v="1"/>
    <x v="3"/>
    <x v="1"/>
    <x v="11"/>
    <x v="9"/>
    <x v="9"/>
    <x v="0"/>
  </r>
  <r>
    <n v="97"/>
    <x v="1"/>
    <n v="36"/>
    <x v="6"/>
    <x v="12"/>
    <x v="4"/>
    <x v="1"/>
    <x v="3"/>
    <x v="1"/>
    <x v="11"/>
    <x v="9"/>
    <x v="9"/>
    <x v="0"/>
  </r>
  <r>
    <n v="98"/>
    <x v="1"/>
    <n v="36"/>
    <x v="6"/>
    <x v="17"/>
    <x v="4"/>
    <x v="1"/>
    <x v="3"/>
    <x v="1"/>
    <x v="11"/>
    <x v="9"/>
    <x v="9"/>
    <x v="0"/>
  </r>
  <r>
    <n v="99"/>
    <x v="1"/>
    <n v="36"/>
    <x v="3"/>
    <x v="17"/>
    <x v="4"/>
    <x v="1"/>
    <x v="3"/>
    <x v="1"/>
    <x v="11"/>
    <x v="9"/>
    <x v="9"/>
    <x v="0"/>
  </r>
  <r>
    <n v="100"/>
    <x v="1"/>
    <n v="36"/>
    <x v="3"/>
    <x v="17"/>
    <x v="4"/>
    <x v="1"/>
    <x v="3"/>
    <x v="1"/>
    <x v="11"/>
    <x v="9"/>
    <x v="9"/>
    <x v="0"/>
  </r>
  <r>
    <n v="101"/>
    <x v="1"/>
    <n v="36"/>
    <x v="3"/>
    <x v="12"/>
    <x v="4"/>
    <x v="1"/>
    <x v="3"/>
    <x v="1"/>
    <x v="11"/>
    <x v="9"/>
    <x v="9"/>
    <x v="0"/>
  </r>
  <r>
    <n v="102"/>
    <x v="1"/>
    <n v="36"/>
    <x v="3"/>
    <x v="12"/>
    <x v="4"/>
    <x v="1"/>
    <x v="3"/>
    <x v="1"/>
    <x v="11"/>
    <x v="9"/>
    <x v="9"/>
    <x v="0"/>
  </r>
  <r>
    <n v="103"/>
    <x v="1"/>
    <n v="36"/>
    <x v="3"/>
    <x v="12"/>
    <x v="4"/>
    <x v="1"/>
    <x v="3"/>
    <x v="1"/>
    <x v="11"/>
    <x v="9"/>
    <x v="9"/>
    <x v="0"/>
  </r>
  <r>
    <n v="104"/>
    <x v="0"/>
    <n v="36"/>
    <x v="3"/>
    <x v="18"/>
    <x v="3"/>
    <x v="5"/>
    <x v="2"/>
    <x v="0"/>
    <x v="13"/>
    <x v="14"/>
    <x v="14"/>
    <x v="1"/>
  </r>
  <r>
    <n v="105"/>
    <x v="1"/>
    <n v="36"/>
    <x v="3"/>
    <x v="12"/>
    <x v="4"/>
    <x v="1"/>
    <x v="3"/>
    <x v="1"/>
    <x v="11"/>
    <x v="9"/>
    <x v="9"/>
    <x v="1"/>
  </r>
  <r>
    <n v="106"/>
    <x v="0"/>
    <n v="36"/>
    <x v="3"/>
    <x v="18"/>
    <x v="3"/>
    <x v="5"/>
    <x v="2"/>
    <x v="0"/>
    <x v="13"/>
    <x v="14"/>
    <x v="14"/>
    <x v="2"/>
  </r>
  <r>
    <n v="107"/>
    <x v="1"/>
    <n v="37"/>
    <x v="4"/>
    <x v="0"/>
    <x v="0"/>
    <x v="0"/>
    <x v="0"/>
    <x v="0"/>
    <x v="0"/>
    <x v="0"/>
    <x v="0"/>
    <x v="0"/>
  </r>
  <r>
    <n v="108"/>
    <x v="0"/>
    <n v="37"/>
    <x v="5"/>
    <x v="4"/>
    <x v="4"/>
    <x v="9"/>
    <x v="3"/>
    <x v="3"/>
    <x v="3"/>
    <x v="9"/>
    <x v="9"/>
    <x v="0"/>
  </r>
  <r>
    <n v="109"/>
    <x v="0"/>
    <n v="37"/>
    <x v="5"/>
    <x v="4"/>
    <x v="4"/>
    <x v="9"/>
    <x v="3"/>
    <x v="3"/>
    <x v="3"/>
    <x v="9"/>
    <x v="9"/>
    <x v="0"/>
  </r>
  <r>
    <n v="110"/>
    <x v="0"/>
    <n v="37"/>
    <x v="8"/>
    <x v="16"/>
    <x v="4"/>
    <x v="1"/>
    <x v="5"/>
    <x v="1"/>
    <x v="14"/>
    <x v="9"/>
    <x v="4"/>
    <x v="0"/>
  </r>
  <r>
    <n v="111"/>
    <x v="1"/>
    <n v="37"/>
    <x v="6"/>
    <x v="12"/>
    <x v="4"/>
    <x v="1"/>
    <x v="3"/>
    <x v="1"/>
    <x v="11"/>
    <x v="9"/>
    <x v="9"/>
    <x v="0"/>
  </r>
  <r>
    <n v="112"/>
    <x v="0"/>
    <n v="37"/>
    <x v="8"/>
    <x v="16"/>
    <x v="4"/>
    <x v="1"/>
    <x v="5"/>
    <x v="1"/>
    <x v="14"/>
    <x v="9"/>
    <x v="4"/>
    <x v="0"/>
  </r>
  <r>
    <n v="113"/>
    <x v="1"/>
    <n v="37"/>
    <x v="6"/>
    <x v="12"/>
    <x v="4"/>
    <x v="1"/>
    <x v="3"/>
    <x v="1"/>
    <x v="11"/>
    <x v="9"/>
    <x v="9"/>
    <x v="0"/>
  </r>
  <r>
    <n v="114"/>
    <x v="0"/>
    <n v="37"/>
    <x v="8"/>
    <x v="16"/>
    <x v="4"/>
    <x v="1"/>
    <x v="5"/>
    <x v="1"/>
    <x v="14"/>
    <x v="9"/>
    <x v="4"/>
    <x v="0"/>
  </r>
  <r>
    <n v="115"/>
    <x v="1"/>
    <n v="37"/>
    <x v="6"/>
    <x v="12"/>
    <x v="4"/>
    <x v="1"/>
    <x v="3"/>
    <x v="1"/>
    <x v="11"/>
    <x v="9"/>
    <x v="9"/>
    <x v="0"/>
  </r>
  <r>
    <n v="116"/>
    <x v="1"/>
    <n v="37"/>
    <x v="6"/>
    <x v="12"/>
    <x v="4"/>
    <x v="1"/>
    <x v="3"/>
    <x v="1"/>
    <x v="11"/>
    <x v="9"/>
    <x v="9"/>
    <x v="0"/>
  </r>
  <r>
    <n v="117"/>
    <x v="1"/>
    <n v="37"/>
    <x v="6"/>
    <x v="12"/>
    <x v="4"/>
    <x v="1"/>
    <x v="3"/>
    <x v="1"/>
    <x v="11"/>
    <x v="9"/>
    <x v="9"/>
    <x v="0"/>
  </r>
  <r>
    <n v="118"/>
    <x v="1"/>
    <n v="37"/>
    <x v="6"/>
    <x v="12"/>
    <x v="4"/>
    <x v="1"/>
    <x v="3"/>
    <x v="1"/>
    <x v="11"/>
    <x v="9"/>
    <x v="9"/>
    <x v="0"/>
  </r>
  <r>
    <n v="119"/>
    <x v="1"/>
    <n v="37"/>
    <x v="6"/>
    <x v="12"/>
    <x v="4"/>
    <x v="1"/>
    <x v="3"/>
    <x v="1"/>
    <x v="11"/>
    <x v="9"/>
    <x v="9"/>
    <x v="0"/>
  </r>
  <r>
    <n v="120"/>
    <x v="1"/>
    <n v="37"/>
    <x v="6"/>
    <x v="12"/>
    <x v="4"/>
    <x v="1"/>
    <x v="3"/>
    <x v="1"/>
    <x v="11"/>
    <x v="9"/>
    <x v="9"/>
    <x v="0"/>
  </r>
  <r>
    <n v="121"/>
    <x v="1"/>
    <n v="37"/>
    <x v="6"/>
    <x v="12"/>
    <x v="4"/>
    <x v="1"/>
    <x v="3"/>
    <x v="1"/>
    <x v="11"/>
    <x v="9"/>
    <x v="9"/>
    <x v="0"/>
  </r>
  <r>
    <n v="122"/>
    <x v="1"/>
    <n v="37"/>
    <x v="6"/>
    <x v="12"/>
    <x v="4"/>
    <x v="1"/>
    <x v="3"/>
    <x v="1"/>
    <x v="11"/>
    <x v="9"/>
    <x v="9"/>
    <x v="0"/>
  </r>
  <r>
    <n v="123"/>
    <x v="1"/>
    <n v="37"/>
    <x v="6"/>
    <x v="12"/>
    <x v="4"/>
    <x v="1"/>
    <x v="3"/>
    <x v="1"/>
    <x v="11"/>
    <x v="9"/>
    <x v="9"/>
    <x v="0"/>
  </r>
  <r>
    <n v="124"/>
    <x v="1"/>
    <n v="37"/>
    <x v="6"/>
    <x v="12"/>
    <x v="4"/>
    <x v="1"/>
    <x v="3"/>
    <x v="1"/>
    <x v="11"/>
    <x v="9"/>
    <x v="9"/>
    <x v="0"/>
  </r>
  <r>
    <n v="125"/>
    <x v="1"/>
    <n v="37"/>
    <x v="6"/>
    <x v="12"/>
    <x v="4"/>
    <x v="1"/>
    <x v="3"/>
    <x v="1"/>
    <x v="11"/>
    <x v="9"/>
    <x v="9"/>
    <x v="0"/>
  </r>
  <r>
    <n v="126"/>
    <x v="1"/>
    <n v="37"/>
    <x v="4"/>
    <x v="11"/>
    <x v="4"/>
    <x v="1"/>
    <x v="3"/>
    <x v="3"/>
    <x v="3"/>
    <x v="4"/>
    <x v="4"/>
    <x v="0"/>
  </r>
  <r>
    <n v="127"/>
    <x v="0"/>
    <n v="38"/>
    <x v="8"/>
    <x v="15"/>
    <x v="4"/>
    <x v="1"/>
    <x v="5"/>
    <x v="1"/>
    <x v="14"/>
    <x v="9"/>
    <x v="4"/>
    <x v="0"/>
  </r>
  <r>
    <n v="128"/>
    <x v="1"/>
    <n v="38"/>
    <x v="6"/>
    <x v="17"/>
    <x v="4"/>
    <x v="1"/>
    <x v="3"/>
    <x v="1"/>
    <x v="11"/>
    <x v="9"/>
    <x v="9"/>
    <x v="0"/>
  </r>
  <r>
    <n v="129"/>
    <x v="0"/>
    <n v="38"/>
    <x v="8"/>
    <x v="15"/>
    <x v="4"/>
    <x v="1"/>
    <x v="5"/>
    <x v="1"/>
    <x v="14"/>
    <x v="9"/>
    <x v="4"/>
    <x v="0"/>
  </r>
  <r>
    <n v="130"/>
    <x v="0"/>
    <n v="38"/>
    <x v="8"/>
    <x v="15"/>
    <x v="4"/>
    <x v="1"/>
    <x v="5"/>
    <x v="1"/>
    <x v="14"/>
    <x v="9"/>
    <x v="4"/>
    <x v="0"/>
  </r>
  <r>
    <n v="131"/>
    <x v="1"/>
    <n v="38"/>
    <x v="6"/>
    <x v="17"/>
    <x v="4"/>
    <x v="1"/>
    <x v="3"/>
    <x v="1"/>
    <x v="11"/>
    <x v="9"/>
    <x v="9"/>
    <x v="0"/>
  </r>
  <r>
    <n v="132"/>
    <x v="0"/>
    <n v="38"/>
    <x v="8"/>
    <x v="15"/>
    <x v="4"/>
    <x v="1"/>
    <x v="5"/>
    <x v="1"/>
    <x v="14"/>
    <x v="9"/>
    <x v="4"/>
    <x v="0"/>
  </r>
  <r>
    <n v="133"/>
    <x v="0"/>
    <n v="38"/>
    <x v="8"/>
    <x v="15"/>
    <x v="4"/>
    <x v="1"/>
    <x v="5"/>
    <x v="1"/>
    <x v="14"/>
    <x v="9"/>
    <x v="4"/>
    <x v="0"/>
  </r>
  <r>
    <n v="134"/>
    <x v="1"/>
    <n v="38"/>
    <x v="6"/>
    <x v="17"/>
    <x v="4"/>
    <x v="1"/>
    <x v="3"/>
    <x v="1"/>
    <x v="11"/>
    <x v="9"/>
    <x v="9"/>
    <x v="0"/>
  </r>
  <r>
    <n v="135"/>
    <x v="0"/>
    <n v="38"/>
    <x v="8"/>
    <x v="15"/>
    <x v="4"/>
    <x v="1"/>
    <x v="5"/>
    <x v="1"/>
    <x v="14"/>
    <x v="9"/>
    <x v="4"/>
    <x v="0"/>
  </r>
  <r>
    <n v="136"/>
    <x v="0"/>
    <n v="38"/>
    <x v="8"/>
    <x v="15"/>
    <x v="4"/>
    <x v="1"/>
    <x v="5"/>
    <x v="1"/>
    <x v="14"/>
    <x v="9"/>
    <x v="4"/>
    <x v="0"/>
  </r>
  <r>
    <n v="137"/>
    <x v="1"/>
    <n v="38"/>
    <x v="6"/>
    <x v="17"/>
    <x v="4"/>
    <x v="1"/>
    <x v="3"/>
    <x v="1"/>
    <x v="11"/>
    <x v="9"/>
    <x v="9"/>
    <x v="0"/>
  </r>
  <r>
    <n v="138"/>
    <x v="0"/>
    <n v="38"/>
    <x v="8"/>
    <x v="17"/>
    <x v="4"/>
    <x v="1"/>
    <x v="5"/>
    <x v="1"/>
    <x v="14"/>
    <x v="9"/>
    <x v="4"/>
    <x v="0"/>
  </r>
  <r>
    <n v="139"/>
    <x v="1"/>
    <n v="38"/>
    <x v="6"/>
    <x v="17"/>
    <x v="4"/>
    <x v="1"/>
    <x v="3"/>
    <x v="1"/>
    <x v="11"/>
    <x v="9"/>
    <x v="9"/>
    <x v="0"/>
  </r>
  <r>
    <n v="140"/>
    <x v="0"/>
    <n v="38"/>
    <x v="8"/>
    <x v="17"/>
    <x v="4"/>
    <x v="1"/>
    <x v="5"/>
    <x v="1"/>
    <x v="14"/>
    <x v="9"/>
    <x v="4"/>
    <x v="0"/>
  </r>
  <r>
    <n v="141"/>
    <x v="1"/>
    <n v="38"/>
    <x v="6"/>
    <x v="17"/>
    <x v="4"/>
    <x v="1"/>
    <x v="3"/>
    <x v="1"/>
    <x v="11"/>
    <x v="9"/>
    <x v="9"/>
    <x v="0"/>
  </r>
  <r>
    <n v="142"/>
    <x v="0"/>
    <n v="38"/>
    <x v="8"/>
    <x v="17"/>
    <x v="4"/>
    <x v="1"/>
    <x v="5"/>
    <x v="1"/>
    <x v="14"/>
    <x v="9"/>
    <x v="4"/>
    <x v="0"/>
  </r>
  <r>
    <n v="143"/>
    <x v="1"/>
    <n v="38"/>
    <x v="6"/>
    <x v="17"/>
    <x v="4"/>
    <x v="1"/>
    <x v="3"/>
    <x v="1"/>
    <x v="11"/>
    <x v="9"/>
    <x v="9"/>
    <x v="0"/>
  </r>
  <r>
    <n v="144"/>
    <x v="1"/>
    <n v="38"/>
    <x v="6"/>
    <x v="17"/>
    <x v="4"/>
    <x v="1"/>
    <x v="3"/>
    <x v="1"/>
    <x v="11"/>
    <x v="9"/>
    <x v="9"/>
    <x v="0"/>
  </r>
  <r>
    <n v="145"/>
    <x v="0"/>
    <n v="38"/>
    <x v="8"/>
    <x v="17"/>
    <x v="4"/>
    <x v="1"/>
    <x v="5"/>
    <x v="1"/>
    <x v="14"/>
    <x v="9"/>
    <x v="4"/>
    <x v="1"/>
  </r>
  <r>
    <n v="146"/>
    <x v="1"/>
    <n v="38"/>
    <x v="8"/>
    <x v="16"/>
    <x v="2"/>
    <x v="1"/>
    <x v="5"/>
    <x v="2"/>
    <x v="12"/>
    <x v="13"/>
    <x v="13"/>
    <x v="1"/>
  </r>
  <r>
    <n v="147"/>
    <x v="0"/>
    <n v="39"/>
    <x v="8"/>
    <x v="12"/>
    <x v="4"/>
    <x v="1"/>
    <x v="5"/>
    <x v="1"/>
    <x v="14"/>
    <x v="9"/>
    <x v="4"/>
    <x v="2"/>
  </r>
  <r>
    <n v="148"/>
    <x v="0"/>
    <n v="39"/>
    <x v="5"/>
    <x v="6"/>
    <x v="3"/>
    <x v="3"/>
    <x v="2"/>
    <x v="0"/>
    <x v="4"/>
    <x v="5"/>
    <x v="5"/>
    <x v="2"/>
  </r>
  <r>
    <n v="149"/>
    <x v="1"/>
    <n v="39"/>
    <x v="8"/>
    <x v="19"/>
    <x v="2"/>
    <x v="7"/>
    <x v="0"/>
    <x v="3"/>
    <x v="8"/>
    <x v="1"/>
    <x v="10"/>
    <x v="0"/>
  </r>
  <r>
    <n v="150"/>
    <x v="1"/>
    <n v="39"/>
    <x v="6"/>
    <x v="20"/>
    <x v="5"/>
    <x v="10"/>
    <x v="4"/>
    <x v="3"/>
    <x v="15"/>
    <x v="15"/>
    <x v="15"/>
    <x v="0"/>
  </r>
  <r>
    <n v="151"/>
    <x v="1"/>
    <n v="39"/>
    <x v="6"/>
    <x v="20"/>
    <x v="5"/>
    <x v="10"/>
    <x v="4"/>
    <x v="3"/>
    <x v="15"/>
    <x v="15"/>
    <x v="15"/>
    <x v="0"/>
  </r>
  <r>
    <n v="152"/>
    <x v="0"/>
    <n v="39"/>
    <x v="8"/>
    <x v="12"/>
    <x v="4"/>
    <x v="1"/>
    <x v="5"/>
    <x v="1"/>
    <x v="14"/>
    <x v="9"/>
    <x v="4"/>
    <x v="0"/>
  </r>
  <r>
    <n v="153"/>
    <x v="0"/>
    <n v="39"/>
    <x v="8"/>
    <x v="12"/>
    <x v="4"/>
    <x v="1"/>
    <x v="5"/>
    <x v="1"/>
    <x v="14"/>
    <x v="9"/>
    <x v="4"/>
    <x v="0"/>
  </r>
  <r>
    <n v="154"/>
    <x v="0"/>
    <n v="39"/>
    <x v="8"/>
    <x v="12"/>
    <x v="4"/>
    <x v="1"/>
    <x v="5"/>
    <x v="1"/>
    <x v="14"/>
    <x v="9"/>
    <x v="4"/>
    <x v="0"/>
  </r>
  <r>
    <n v="155"/>
    <x v="0"/>
    <n v="39"/>
    <x v="8"/>
    <x v="12"/>
    <x v="4"/>
    <x v="1"/>
    <x v="5"/>
    <x v="1"/>
    <x v="14"/>
    <x v="9"/>
    <x v="4"/>
    <x v="0"/>
  </r>
  <r>
    <n v="156"/>
    <x v="0"/>
    <n v="39"/>
    <x v="8"/>
    <x v="12"/>
    <x v="4"/>
    <x v="1"/>
    <x v="5"/>
    <x v="1"/>
    <x v="14"/>
    <x v="9"/>
    <x v="4"/>
    <x v="0"/>
  </r>
  <r>
    <n v="157"/>
    <x v="0"/>
    <n v="39"/>
    <x v="8"/>
    <x v="12"/>
    <x v="4"/>
    <x v="1"/>
    <x v="5"/>
    <x v="1"/>
    <x v="14"/>
    <x v="9"/>
    <x v="4"/>
    <x v="0"/>
  </r>
  <r>
    <n v="158"/>
    <x v="0"/>
    <n v="39"/>
    <x v="8"/>
    <x v="12"/>
    <x v="4"/>
    <x v="1"/>
    <x v="5"/>
    <x v="1"/>
    <x v="14"/>
    <x v="9"/>
    <x v="4"/>
    <x v="0"/>
  </r>
  <r>
    <n v="159"/>
    <x v="0"/>
    <n v="39"/>
    <x v="8"/>
    <x v="12"/>
    <x v="4"/>
    <x v="1"/>
    <x v="5"/>
    <x v="1"/>
    <x v="14"/>
    <x v="9"/>
    <x v="4"/>
    <x v="0"/>
  </r>
  <r>
    <n v="160"/>
    <x v="0"/>
    <n v="39"/>
    <x v="8"/>
    <x v="12"/>
    <x v="4"/>
    <x v="1"/>
    <x v="5"/>
    <x v="1"/>
    <x v="14"/>
    <x v="9"/>
    <x v="4"/>
    <x v="0"/>
  </r>
  <r>
    <n v="161"/>
    <x v="0"/>
    <n v="39"/>
    <x v="8"/>
    <x v="12"/>
    <x v="4"/>
    <x v="1"/>
    <x v="5"/>
    <x v="1"/>
    <x v="14"/>
    <x v="9"/>
    <x v="4"/>
    <x v="0"/>
  </r>
  <r>
    <n v="162"/>
    <x v="1"/>
    <n v="40"/>
    <x v="6"/>
    <x v="12"/>
    <x v="4"/>
    <x v="11"/>
    <x v="0"/>
    <x v="3"/>
    <x v="16"/>
    <x v="16"/>
    <x v="16"/>
    <x v="0"/>
  </r>
  <r>
    <n v="163"/>
    <x v="1"/>
    <n v="40"/>
    <x v="6"/>
    <x v="12"/>
    <x v="4"/>
    <x v="11"/>
    <x v="0"/>
    <x v="3"/>
    <x v="16"/>
    <x v="16"/>
    <x v="16"/>
    <x v="0"/>
  </r>
  <r>
    <n v="164"/>
    <x v="0"/>
    <n v="40"/>
    <x v="8"/>
    <x v="9"/>
    <x v="4"/>
    <x v="12"/>
    <x v="5"/>
    <x v="1"/>
    <x v="14"/>
    <x v="9"/>
    <x v="4"/>
    <x v="0"/>
  </r>
  <r>
    <n v="165"/>
    <x v="0"/>
    <n v="40"/>
    <x v="8"/>
    <x v="9"/>
    <x v="4"/>
    <x v="12"/>
    <x v="5"/>
    <x v="1"/>
    <x v="14"/>
    <x v="9"/>
    <x v="4"/>
    <x v="0"/>
  </r>
  <r>
    <n v="166"/>
    <x v="0"/>
    <n v="41"/>
    <x v="8"/>
    <x v="7"/>
    <x v="4"/>
    <x v="12"/>
    <x v="5"/>
    <x v="1"/>
    <x v="14"/>
    <x v="4"/>
    <x v="4"/>
    <x v="2"/>
  </r>
  <r>
    <n v="167"/>
    <x v="0"/>
    <n v="41"/>
    <x v="5"/>
    <x v="15"/>
    <x v="4"/>
    <x v="9"/>
    <x v="0"/>
    <x v="3"/>
    <x v="17"/>
    <x v="8"/>
    <x v="17"/>
    <x v="0"/>
  </r>
  <r>
    <n v="168"/>
    <x v="0"/>
    <n v="41"/>
    <x v="8"/>
    <x v="17"/>
    <x v="2"/>
    <x v="11"/>
    <x v="0"/>
    <x v="0"/>
    <x v="18"/>
    <x v="8"/>
    <x v="18"/>
    <x v="0"/>
  </r>
  <r>
    <n v="169"/>
    <x v="0"/>
    <n v="41"/>
    <x v="8"/>
    <x v="17"/>
    <x v="2"/>
    <x v="11"/>
    <x v="0"/>
    <x v="0"/>
    <x v="18"/>
    <x v="8"/>
    <x v="18"/>
    <x v="0"/>
  </r>
  <r>
    <n v="170"/>
    <x v="0"/>
    <n v="41"/>
    <x v="8"/>
    <x v="8"/>
    <x v="4"/>
    <x v="12"/>
    <x v="5"/>
    <x v="1"/>
    <x v="14"/>
    <x v="4"/>
    <x v="4"/>
    <x v="0"/>
  </r>
  <r>
    <n v="171"/>
    <x v="0"/>
    <n v="41"/>
    <x v="8"/>
    <x v="8"/>
    <x v="4"/>
    <x v="12"/>
    <x v="5"/>
    <x v="1"/>
    <x v="14"/>
    <x v="4"/>
    <x v="4"/>
    <x v="0"/>
  </r>
  <r>
    <n v="172"/>
    <x v="0"/>
    <n v="41"/>
    <x v="8"/>
    <x v="8"/>
    <x v="4"/>
    <x v="12"/>
    <x v="5"/>
    <x v="1"/>
    <x v="14"/>
    <x v="4"/>
    <x v="4"/>
    <x v="0"/>
  </r>
  <r>
    <n v="173"/>
    <x v="0"/>
    <n v="41"/>
    <x v="8"/>
    <x v="8"/>
    <x v="4"/>
    <x v="12"/>
    <x v="5"/>
    <x v="1"/>
    <x v="14"/>
    <x v="4"/>
    <x v="4"/>
    <x v="0"/>
  </r>
  <r>
    <n v="174"/>
    <x v="0"/>
    <n v="41"/>
    <x v="8"/>
    <x v="8"/>
    <x v="4"/>
    <x v="12"/>
    <x v="5"/>
    <x v="1"/>
    <x v="14"/>
    <x v="4"/>
    <x v="4"/>
    <x v="0"/>
  </r>
  <r>
    <n v="175"/>
    <x v="0"/>
    <n v="41"/>
    <x v="8"/>
    <x v="7"/>
    <x v="4"/>
    <x v="12"/>
    <x v="5"/>
    <x v="1"/>
    <x v="14"/>
    <x v="4"/>
    <x v="4"/>
    <x v="0"/>
  </r>
  <r>
    <n v="176"/>
    <x v="0"/>
    <n v="41"/>
    <x v="8"/>
    <x v="7"/>
    <x v="4"/>
    <x v="12"/>
    <x v="5"/>
    <x v="1"/>
    <x v="14"/>
    <x v="4"/>
    <x v="4"/>
    <x v="0"/>
  </r>
  <r>
    <n v="177"/>
    <x v="0"/>
    <n v="41"/>
    <x v="8"/>
    <x v="7"/>
    <x v="4"/>
    <x v="12"/>
    <x v="5"/>
    <x v="1"/>
    <x v="14"/>
    <x v="4"/>
    <x v="4"/>
    <x v="0"/>
  </r>
  <r>
    <n v="178"/>
    <x v="0"/>
    <n v="42"/>
    <x v="9"/>
    <x v="6"/>
    <x v="0"/>
    <x v="6"/>
    <x v="2"/>
    <x v="0"/>
    <x v="14"/>
    <x v="8"/>
    <x v="18"/>
    <x v="2"/>
  </r>
  <r>
    <n v="179"/>
    <x v="0"/>
    <n v="42"/>
    <x v="8"/>
    <x v="4"/>
    <x v="4"/>
    <x v="12"/>
    <x v="5"/>
    <x v="1"/>
    <x v="14"/>
    <x v="4"/>
    <x v="4"/>
    <x v="0"/>
  </r>
  <r>
    <n v="180"/>
    <x v="0"/>
    <n v="42"/>
    <x v="8"/>
    <x v="4"/>
    <x v="4"/>
    <x v="12"/>
    <x v="5"/>
    <x v="1"/>
    <x v="14"/>
    <x v="4"/>
    <x v="4"/>
    <x v="0"/>
  </r>
  <r>
    <n v="181"/>
    <x v="0"/>
    <n v="42"/>
    <x v="8"/>
    <x v="4"/>
    <x v="4"/>
    <x v="12"/>
    <x v="5"/>
    <x v="1"/>
    <x v="14"/>
    <x v="4"/>
    <x v="4"/>
    <x v="0"/>
  </r>
  <r>
    <n v="182"/>
    <x v="0"/>
    <n v="42"/>
    <x v="8"/>
    <x v="4"/>
    <x v="4"/>
    <x v="12"/>
    <x v="5"/>
    <x v="1"/>
    <x v="14"/>
    <x v="4"/>
    <x v="4"/>
    <x v="0"/>
  </r>
  <r>
    <n v="183"/>
    <x v="0"/>
    <n v="42"/>
    <x v="8"/>
    <x v="4"/>
    <x v="4"/>
    <x v="12"/>
    <x v="5"/>
    <x v="1"/>
    <x v="14"/>
    <x v="4"/>
    <x v="4"/>
    <x v="0"/>
  </r>
  <r>
    <n v="184"/>
    <x v="0"/>
    <n v="42"/>
    <x v="8"/>
    <x v="4"/>
    <x v="4"/>
    <x v="12"/>
    <x v="5"/>
    <x v="1"/>
    <x v="14"/>
    <x v="4"/>
    <x v="4"/>
    <x v="0"/>
  </r>
  <r>
    <n v="185"/>
    <x v="1"/>
    <n v="42"/>
    <x v="3"/>
    <x v="21"/>
    <x v="0"/>
    <x v="6"/>
    <x v="2"/>
    <x v="0"/>
    <x v="14"/>
    <x v="6"/>
    <x v="8"/>
    <x v="1"/>
  </r>
  <r>
    <n v="186"/>
    <x v="1"/>
    <n v="42"/>
    <x v="3"/>
    <x v="21"/>
    <x v="0"/>
    <x v="6"/>
    <x v="2"/>
    <x v="0"/>
    <x v="14"/>
    <x v="6"/>
    <x v="8"/>
    <x v="1"/>
  </r>
  <r>
    <n v="187"/>
    <x v="1"/>
    <n v="43"/>
    <x v="3"/>
    <x v="14"/>
    <x v="2"/>
    <x v="6"/>
    <x v="3"/>
    <x v="0"/>
    <x v="19"/>
    <x v="12"/>
    <x v="18"/>
    <x v="2"/>
  </r>
  <r>
    <n v="188"/>
    <x v="0"/>
    <n v="43"/>
    <x v="9"/>
    <x v="3"/>
    <x v="0"/>
    <x v="6"/>
    <x v="2"/>
    <x v="0"/>
    <x v="14"/>
    <x v="8"/>
    <x v="18"/>
    <x v="2"/>
  </r>
  <r>
    <n v="189"/>
    <x v="1"/>
    <n v="43"/>
    <x v="3"/>
    <x v="14"/>
    <x v="2"/>
    <x v="6"/>
    <x v="3"/>
    <x v="0"/>
    <x v="19"/>
    <x v="12"/>
    <x v="18"/>
    <x v="2"/>
  </r>
  <r>
    <n v="190"/>
    <x v="0"/>
    <n v="43"/>
    <x v="9"/>
    <x v="6"/>
    <x v="0"/>
    <x v="6"/>
    <x v="2"/>
    <x v="0"/>
    <x v="14"/>
    <x v="8"/>
    <x v="18"/>
    <x v="2"/>
  </r>
  <r>
    <n v="191"/>
    <x v="1"/>
    <n v="43"/>
    <x v="3"/>
    <x v="14"/>
    <x v="2"/>
    <x v="6"/>
    <x v="3"/>
    <x v="0"/>
    <x v="19"/>
    <x v="12"/>
    <x v="18"/>
    <x v="2"/>
  </r>
  <r>
    <n v="192"/>
    <x v="0"/>
    <n v="43"/>
    <x v="9"/>
    <x v="10"/>
    <x v="0"/>
    <x v="6"/>
    <x v="2"/>
    <x v="0"/>
    <x v="14"/>
    <x v="8"/>
    <x v="18"/>
    <x v="2"/>
  </r>
  <r>
    <n v="193"/>
    <x v="0"/>
    <n v="43"/>
    <x v="9"/>
    <x v="6"/>
    <x v="0"/>
    <x v="6"/>
    <x v="2"/>
    <x v="0"/>
    <x v="14"/>
    <x v="8"/>
    <x v="18"/>
    <x v="2"/>
  </r>
  <r>
    <n v="194"/>
    <x v="0"/>
    <n v="43"/>
    <x v="9"/>
    <x v="6"/>
    <x v="0"/>
    <x v="6"/>
    <x v="2"/>
    <x v="0"/>
    <x v="14"/>
    <x v="8"/>
    <x v="18"/>
    <x v="2"/>
  </r>
  <r>
    <n v="195"/>
    <x v="0"/>
    <n v="43"/>
    <x v="9"/>
    <x v="6"/>
    <x v="0"/>
    <x v="6"/>
    <x v="2"/>
    <x v="0"/>
    <x v="14"/>
    <x v="8"/>
    <x v="18"/>
    <x v="2"/>
  </r>
  <r>
    <n v="196"/>
    <x v="0"/>
    <n v="43"/>
    <x v="9"/>
    <x v="6"/>
    <x v="0"/>
    <x v="6"/>
    <x v="2"/>
    <x v="0"/>
    <x v="14"/>
    <x v="8"/>
    <x v="18"/>
    <x v="2"/>
  </r>
  <r>
    <n v="197"/>
    <x v="0"/>
    <n v="43"/>
    <x v="9"/>
    <x v="6"/>
    <x v="0"/>
    <x v="6"/>
    <x v="2"/>
    <x v="0"/>
    <x v="14"/>
    <x v="8"/>
    <x v="18"/>
    <x v="2"/>
  </r>
  <r>
    <n v="198"/>
    <x v="0"/>
    <n v="43"/>
    <x v="9"/>
    <x v="6"/>
    <x v="0"/>
    <x v="6"/>
    <x v="2"/>
    <x v="0"/>
    <x v="14"/>
    <x v="8"/>
    <x v="18"/>
    <x v="2"/>
  </r>
  <r>
    <n v="199"/>
    <x v="0"/>
    <n v="43"/>
    <x v="9"/>
    <x v="6"/>
    <x v="0"/>
    <x v="6"/>
    <x v="2"/>
    <x v="0"/>
    <x v="14"/>
    <x v="8"/>
    <x v="18"/>
    <x v="2"/>
  </r>
  <r>
    <n v="200"/>
    <x v="0"/>
    <n v="43"/>
    <x v="9"/>
    <x v="6"/>
    <x v="0"/>
    <x v="6"/>
    <x v="2"/>
    <x v="0"/>
    <x v="14"/>
    <x v="8"/>
    <x v="18"/>
    <x v="2"/>
  </r>
  <r>
    <n v="201"/>
    <x v="0"/>
    <n v="43"/>
    <x v="9"/>
    <x v="6"/>
    <x v="0"/>
    <x v="6"/>
    <x v="2"/>
    <x v="0"/>
    <x v="14"/>
    <x v="8"/>
    <x v="18"/>
    <x v="2"/>
  </r>
  <r>
    <n v="202"/>
    <x v="0"/>
    <n v="43"/>
    <x v="5"/>
    <x v="4"/>
    <x v="4"/>
    <x v="12"/>
    <x v="5"/>
    <x v="1"/>
    <x v="14"/>
    <x v="4"/>
    <x v="4"/>
    <x v="2"/>
  </r>
  <r>
    <n v="203"/>
    <x v="0"/>
    <n v="43"/>
    <x v="5"/>
    <x v="4"/>
    <x v="4"/>
    <x v="12"/>
    <x v="5"/>
    <x v="1"/>
    <x v="14"/>
    <x v="4"/>
    <x v="4"/>
    <x v="2"/>
  </r>
  <r>
    <n v="204"/>
    <x v="0"/>
    <n v="43"/>
    <x v="5"/>
    <x v="19"/>
    <x v="0"/>
    <x v="13"/>
    <x v="2"/>
    <x v="3"/>
    <x v="6"/>
    <x v="7"/>
    <x v="7"/>
    <x v="0"/>
  </r>
  <r>
    <n v="205"/>
    <x v="0"/>
    <n v="43"/>
    <x v="5"/>
    <x v="7"/>
    <x v="4"/>
    <x v="4"/>
    <x v="3"/>
    <x v="0"/>
    <x v="20"/>
    <x v="9"/>
    <x v="7"/>
    <x v="0"/>
  </r>
  <r>
    <n v="206"/>
    <x v="0"/>
    <n v="43"/>
    <x v="5"/>
    <x v="8"/>
    <x v="4"/>
    <x v="12"/>
    <x v="5"/>
    <x v="1"/>
    <x v="14"/>
    <x v="4"/>
    <x v="4"/>
    <x v="0"/>
  </r>
  <r>
    <n v="207"/>
    <x v="0"/>
    <n v="43"/>
    <x v="5"/>
    <x v="8"/>
    <x v="4"/>
    <x v="12"/>
    <x v="5"/>
    <x v="1"/>
    <x v="14"/>
    <x v="4"/>
    <x v="4"/>
    <x v="0"/>
  </r>
  <r>
    <n v="208"/>
    <x v="0"/>
    <n v="43"/>
    <x v="5"/>
    <x v="8"/>
    <x v="4"/>
    <x v="12"/>
    <x v="5"/>
    <x v="1"/>
    <x v="14"/>
    <x v="4"/>
    <x v="4"/>
    <x v="0"/>
  </r>
  <r>
    <n v="209"/>
    <x v="0"/>
    <n v="43"/>
    <x v="5"/>
    <x v="8"/>
    <x v="4"/>
    <x v="12"/>
    <x v="5"/>
    <x v="1"/>
    <x v="14"/>
    <x v="4"/>
    <x v="4"/>
    <x v="0"/>
  </r>
  <r>
    <n v="210"/>
    <x v="0"/>
    <n v="43"/>
    <x v="5"/>
    <x v="4"/>
    <x v="4"/>
    <x v="12"/>
    <x v="5"/>
    <x v="1"/>
    <x v="14"/>
    <x v="4"/>
    <x v="4"/>
    <x v="0"/>
  </r>
  <r>
    <n v="211"/>
    <x v="0"/>
    <n v="43"/>
    <x v="5"/>
    <x v="8"/>
    <x v="4"/>
    <x v="12"/>
    <x v="5"/>
    <x v="1"/>
    <x v="14"/>
    <x v="4"/>
    <x v="4"/>
    <x v="0"/>
  </r>
  <r>
    <n v="212"/>
    <x v="0"/>
    <n v="43"/>
    <x v="5"/>
    <x v="4"/>
    <x v="4"/>
    <x v="12"/>
    <x v="5"/>
    <x v="1"/>
    <x v="14"/>
    <x v="4"/>
    <x v="4"/>
    <x v="0"/>
  </r>
  <r>
    <n v="213"/>
    <x v="0"/>
    <n v="43"/>
    <x v="5"/>
    <x v="4"/>
    <x v="4"/>
    <x v="12"/>
    <x v="5"/>
    <x v="1"/>
    <x v="14"/>
    <x v="4"/>
    <x v="4"/>
    <x v="0"/>
  </r>
  <r>
    <n v="214"/>
    <x v="0"/>
    <n v="43"/>
    <x v="5"/>
    <x v="4"/>
    <x v="4"/>
    <x v="12"/>
    <x v="5"/>
    <x v="1"/>
    <x v="14"/>
    <x v="4"/>
    <x v="4"/>
    <x v="0"/>
  </r>
  <r>
    <n v="215"/>
    <x v="0"/>
    <n v="43"/>
    <x v="5"/>
    <x v="4"/>
    <x v="4"/>
    <x v="12"/>
    <x v="5"/>
    <x v="1"/>
    <x v="14"/>
    <x v="4"/>
    <x v="4"/>
    <x v="0"/>
  </r>
  <r>
    <n v="216"/>
    <x v="0"/>
    <n v="43"/>
    <x v="5"/>
    <x v="4"/>
    <x v="4"/>
    <x v="12"/>
    <x v="5"/>
    <x v="1"/>
    <x v="14"/>
    <x v="4"/>
    <x v="4"/>
    <x v="0"/>
  </r>
  <r>
    <n v="217"/>
    <x v="0"/>
    <n v="43"/>
    <x v="5"/>
    <x v="4"/>
    <x v="4"/>
    <x v="12"/>
    <x v="5"/>
    <x v="1"/>
    <x v="14"/>
    <x v="4"/>
    <x v="4"/>
    <x v="0"/>
  </r>
  <r>
    <n v="218"/>
    <x v="0"/>
    <n v="43"/>
    <x v="5"/>
    <x v="4"/>
    <x v="4"/>
    <x v="12"/>
    <x v="5"/>
    <x v="1"/>
    <x v="14"/>
    <x v="4"/>
    <x v="4"/>
    <x v="0"/>
  </r>
  <r>
    <n v="219"/>
    <x v="0"/>
    <n v="43"/>
    <x v="5"/>
    <x v="4"/>
    <x v="4"/>
    <x v="12"/>
    <x v="5"/>
    <x v="1"/>
    <x v="14"/>
    <x v="4"/>
    <x v="4"/>
    <x v="1"/>
  </r>
  <r>
    <n v="220"/>
    <x v="0"/>
    <n v="43"/>
    <x v="9"/>
    <x v="6"/>
    <x v="0"/>
    <x v="6"/>
    <x v="2"/>
    <x v="0"/>
    <x v="14"/>
    <x v="8"/>
    <x v="18"/>
    <x v="1"/>
  </r>
  <r>
    <n v="221"/>
    <x v="1"/>
    <n v="44"/>
    <x v="3"/>
    <x v="18"/>
    <x v="2"/>
    <x v="6"/>
    <x v="3"/>
    <x v="0"/>
    <x v="19"/>
    <x v="12"/>
    <x v="18"/>
    <x v="2"/>
  </r>
  <r>
    <n v="222"/>
    <x v="0"/>
    <n v="44"/>
    <x v="9"/>
    <x v="10"/>
    <x v="0"/>
    <x v="6"/>
    <x v="2"/>
    <x v="0"/>
    <x v="14"/>
    <x v="8"/>
    <x v="18"/>
    <x v="2"/>
  </r>
  <r>
    <n v="223"/>
    <x v="0"/>
    <n v="44"/>
    <x v="9"/>
    <x v="3"/>
    <x v="0"/>
    <x v="6"/>
    <x v="2"/>
    <x v="0"/>
    <x v="14"/>
    <x v="8"/>
    <x v="18"/>
    <x v="2"/>
  </r>
  <r>
    <n v="224"/>
    <x v="0"/>
    <n v="44"/>
    <x v="9"/>
    <x v="10"/>
    <x v="0"/>
    <x v="6"/>
    <x v="2"/>
    <x v="0"/>
    <x v="14"/>
    <x v="8"/>
    <x v="18"/>
    <x v="2"/>
  </r>
  <r>
    <n v="225"/>
    <x v="1"/>
    <n v="44"/>
    <x v="3"/>
    <x v="18"/>
    <x v="2"/>
    <x v="6"/>
    <x v="3"/>
    <x v="0"/>
    <x v="19"/>
    <x v="12"/>
    <x v="18"/>
    <x v="2"/>
  </r>
  <r>
    <n v="226"/>
    <x v="0"/>
    <n v="44"/>
    <x v="9"/>
    <x v="3"/>
    <x v="0"/>
    <x v="6"/>
    <x v="2"/>
    <x v="0"/>
    <x v="14"/>
    <x v="8"/>
    <x v="18"/>
    <x v="2"/>
  </r>
  <r>
    <n v="227"/>
    <x v="1"/>
    <n v="44"/>
    <x v="3"/>
    <x v="18"/>
    <x v="2"/>
    <x v="6"/>
    <x v="3"/>
    <x v="0"/>
    <x v="19"/>
    <x v="12"/>
    <x v="18"/>
    <x v="2"/>
  </r>
  <r>
    <n v="228"/>
    <x v="0"/>
    <n v="44"/>
    <x v="9"/>
    <x v="3"/>
    <x v="0"/>
    <x v="6"/>
    <x v="2"/>
    <x v="0"/>
    <x v="14"/>
    <x v="8"/>
    <x v="18"/>
    <x v="2"/>
  </r>
  <r>
    <n v="229"/>
    <x v="1"/>
    <n v="44"/>
    <x v="3"/>
    <x v="18"/>
    <x v="2"/>
    <x v="6"/>
    <x v="3"/>
    <x v="0"/>
    <x v="19"/>
    <x v="12"/>
    <x v="18"/>
    <x v="2"/>
  </r>
  <r>
    <n v="230"/>
    <x v="0"/>
    <n v="44"/>
    <x v="9"/>
    <x v="3"/>
    <x v="0"/>
    <x v="6"/>
    <x v="2"/>
    <x v="0"/>
    <x v="14"/>
    <x v="8"/>
    <x v="18"/>
    <x v="2"/>
  </r>
  <r>
    <n v="231"/>
    <x v="1"/>
    <n v="44"/>
    <x v="3"/>
    <x v="18"/>
    <x v="2"/>
    <x v="6"/>
    <x v="3"/>
    <x v="0"/>
    <x v="19"/>
    <x v="12"/>
    <x v="18"/>
    <x v="2"/>
  </r>
  <r>
    <n v="232"/>
    <x v="0"/>
    <n v="44"/>
    <x v="9"/>
    <x v="3"/>
    <x v="0"/>
    <x v="6"/>
    <x v="2"/>
    <x v="0"/>
    <x v="14"/>
    <x v="8"/>
    <x v="18"/>
    <x v="2"/>
  </r>
  <r>
    <n v="233"/>
    <x v="1"/>
    <n v="44"/>
    <x v="3"/>
    <x v="18"/>
    <x v="2"/>
    <x v="6"/>
    <x v="3"/>
    <x v="0"/>
    <x v="19"/>
    <x v="12"/>
    <x v="18"/>
    <x v="2"/>
  </r>
  <r>
    <n v="234"/>
    <x v="0"/>
    <n v="44"/>
    <x v="9"/>
    <x v="3"/>
    <x v="0"/>
    <x v="6"/>
    <x v="2"/>
    <x v="0"/>
    <x v="14"/>
    <x v="8"/>
    <x v="18"/>
    <x v="2"/>
  </r>
  <r>
    <n v="235"/>
    <x v="1"/>
    <n v="44"/>
    <x v="3"/>
    <x v="18"/>
    <x v="2"/>
    <x v="6"/>
    <x v="3"/>
    <x v="0"/>
    <x v="19"/>
    <x v="12"/>
    <x v="18"/>
    <x v="2"/>
  </r>
  <r>
    <n v="236"/>
    <x v="0"/>
    <n v="44"/>
    <x v="9"/>
    <x v="3"/>
    <x v="0"/>
    <x v="6"/>
    <x v="2"/>
    <x v="0"/>
    <x v="14"/>
    <x v="8"/>
    <x v="18"/>
    <x v="2"/>
  </r>
  <r>
    <n v="237"/>
    <x v="0"/>
    <n v="44"/>
    <x v="9"/>
    <x v="10"/>
    <x v="0"/>
    <x v="6"/>
    <x v="2"/>
    <x v="0"/>
    <x v="14"/>
    <x v="8"/>
    <x v="18"/>
    <x v="2"/>
  </r>
  <r>
    <n v="238"/>
    <x v="1"/>
    <n v="44"/>
    <x v="3"/>
    <x v="6"/>
    <x v="2"/>
    <x v="6"/>
    <x v="3"/>
    <x v="0"/>
    <x v="19"/>
    <x v="12"/>
    <x v="18"/>
    <x v="2"/>
  </r>
  <r>
    <n v="239"/>
    <x v="0"/>
    <n v="44"/>
    <x v="9"/>
    <x v="3"/>
    <x v="0"/>
    <x v="6"/>
    <x v="2"/>
    <x v="0"/>
    <x v="14"/>
    <x v="8"/>
    <x v="18"/>
    <x v="2"/>
  </r>
  <r>
    <n v="240"/>
    <x v="0"/>
    <n v="44"/>
    <x v="9"/>
    <x v="10"/>
    <x v="0"/>
    <x v="6"/>
    <x v="2"/>
    <x v="0"/>
    <x v="14"/>
    <x v="8"/>
    <x v="18"/>
    <x v="2"/>
  </r>
  <r>
    <n v="241"/>
    <x v="1"/>
    <n v="44"/>
    <x v="3"/>
    <x v="6"/>
    <x v="2"/>
    <x v="6"/>
    <x v="3"/>
    <x v="0"/>
    <x v="19"/>
    <x v="12"/>
    <x v="18"/>
    <x v="2"/>
  </r>
  <r>
    <n v="242"/>
    <x v="0"/>
    <n v="44"/>
    <x v="9"/>
    <x v="3"/>
    <x v="0"/>
    <x v="6"/>
    <x v="2"/>
    <x v="0"/>
    <x v="14"/>
    <x v="8"/>
    <x v="18"/>
    <x v="2"/>
  </r>
  <r>
    <n v="243"/>
    <x v="0"/>
    <n v="44"/>
    <x v="9"/>
    <x v="10"/>
    <x v="0"/>
    <x v="6"/>
    <x v="2"/>
    <x v="0"/>
    <x v="14"/>
    <x v="8"/>
    <x v="18"/>
    <x v="2"/>
  </r>
  <r>
    <n v="244"/>
    <x v="1"/>
    <n v="44"/>
    <x v="3"/>
    <x v="6"/>
    <x v="2"/>
    <x v="6"/>
    <x v="3"/>
    <x v="0"/>
    <x v="19"/>
    <x v="12"/>
    <x v="18"/>
    <x v="2"/>
  </r>
  <r>
    <n v="245"/>
    <x v="0"/>
    <n v="44"/>
    <x v="9"/>
    <x v="3"/>
    <x v="0"/>
    <x v="6"/>
    <x v="2"/>
    <x v="0"/>
    <x v="14"/>
    <x v="8"/>
    <x v="18"/>
    <x v="2"/>
  </r>
  <r>
    <n v="246"/>
    <x v="1"/>
    <n v="44"/>
    <x v="3"/>
    <x v="6"/>
    <x v="2"/>
    <x v="6"/>
    <x v="3"/>
    <x v="0"/>
    <x v="19"/>
    <x v="12"/>
    <x v="18"/>
    <x v="2"/>
  </r>
  <r>
    <n v="247"/>
    <x v="0"/>
    <n v="44"/>
    <x v="9"/>
    <x v="3"/>
    <x v="0"/>
    <x v="6"/>
    <x v="2"/>
    <x v="0"/>
    <x v="14"/>
    <x v="8"/>
    <x v="18"/>
    <x v="2"/>
  </r>
  <r>
    <n v="248"/>
    <x v="0"/>
    <n v="44"/>
    <x v="5"/>
    <x v="21"/>
    <x v="2"/>
    <x v="6"/>
    <x v="2"/>
    <x v="0"/>
    <x v="14"/>
    <x v="6"/>
    <x v="8"/>
    <x v="2"/>
  </r>
  <r>
    <n v="249"/>
    <x v="0"/>
    <n v="44"/>
    <x v="9"/>
    <x v="10"/>
    <x v="0"/>
    <x v="6"/>
    <x v="2"/>
    <x v="0"/>
    <x v="14"/>
    <x v="8"/>
    <x v="18"/>
    <x v="0"/>
  </r>
  <r>
    <n v="250"/>
    <x v="0"/>
    <n v="44"/>
    <x v="9"/>
    <x v="6"/>
    <x v="0"/>
    <x v="6"/>
    <x v="2"/>
    <x v="0"/>
    <x v="14"/>
    <x v="8"/>
    <x v="18"/>
    <x v="0"/>
  </r>
  <r>
    <n v="251"/>
    <x v="1"/>
    <n v="45"/>
    <x v="3"/>
    <x v="21"/>
    <x v="2"/>
    <x v="2"/>
    <x v="0"/>
    <x v="0"/>
    <x v="19"/>
    <x v="12"/>
    <x v="18"/>
    <x v="2"/>
  </r>
  <r>
    <n v="252"/>
    <x v="1"/>
    <n v="45"/>
    <x v="3"/>
    <x v="21"/>
    <x v="2"/>
    <x v="2"/>
    <x v="0"/>
    <x v="0"/>
    <x v="19"/>
    <x v="12"/>
    <x v="18"/>
    <x v="2"/>
  </r>
  <r>
    <n v="253"/>
    <x v="1"/>
    <n v="45"/>
    <x v="3"/>
    <x v="6"/>
    <x v="2"/>
    <x v="6"/>
    <x v="3"/>
    <x v="0"/>
    <x v="19"/>
    <x v="12"/>
    <x v="18"/>
    <x v="2"/>
  </r>
  <r>
    <n v="254"/>
    <x v="1"/>
    <n v="45"/>
    <x v="3"/>
    <x v="6"/>
    <x v="2"/>
    <x v="6"/>
    <x v="3"/>
    <x v="0"/>
    <x v="19"/>
    <x v="12"/>
    <x v="18"/>
    <x v="2"/>
  </r>
  <r>
    <n v="255"/>
    <x v="1"/>
    <n v="45"/>
    <x v="3"/>
    <x v="6"/>
    <x v="2"/>
    <x v="6"/>
    <x v="3"/>
    <x v="0"/>
    <x v="19"/>
    <x v="12"/>
    <x v="18"/>
    <x v="2"/>
  </r>
  <r>
    <n v="256"/>
    <x v="1"/>
    <n v="45"/>
    <x v="3"/>
    <x v="6"/>
    <x v="2"/>
    <x v="6"/>
    <x v="3"/>
    <x v="0"/>
    <x v="19"/>
    <x v="12"/>
    <x v="18"/>
    <x v="2"/>
  </r>
  <r>
    <n v="257"/>
    <x v="1"/>
    <n v="45"/>
    <x v="3"/>
    <x v="18"/>
    <x v="2"/>
    <x v="6"/>
    <x v="3"/>
    <x v="0"/>
    <x v="19"/>
    <x v="12"/>
    <x v="18"/>
    <x v="2"/>
  </r>
  <r>
    <n v="258"/>
    <x v="1"/>
    <n v="45"/>
    <x v="3"/>
    <x v="18"/>
    <x v="2"/>
    <x v="6"/>
    <x v="3"/>
    <x v="0"/>
    <x v="19"/>
    <x v="12"/>
    <x v="18"/>
    <x v="2"/>
  </r>
  <r>
    <n v="259"/>
    <x v="1"/>
    <n v="45"/>
    <x v="3"/>
    <x v="18"/>
    <x v="2"/>
    <x v="6"/>
    <x v="3"/>
    <x v="0"/>
    <x v="19"/>
    <x v="12"/>
    <x v="18"/>
    <x v="2"/>
  </r>
  <r>
    <n v="260"/>
    <x v="1"/>
    <n v="45"/>
    <x v="3"/>
    <x v="18"/>
    <x v="2"/>
    <x v="6"/>
    <x v="3"/>
    <x v="0"/>
    <x v="19"/>
    <x v="12"/>
    <x v="18"/>
    <x v="2"/>
  </r>
  <r>
    <n v="261"/>
    <x v="1"/>
    <n v="45"/>
    <x v="3"/>
    <x v="18"/>
    <x v="2"/>
    <x v="6"/>
    <x v="3"/>
    <x v="0"/>
    <x v="19"/>
    <x v="12"/>
    <x v="18"/>
    <x v="2"/>
  </r>
  <r>
    <n v="262"/>
    <x v="1"/>
    <n v="45"/>
    <x v="3"/>
    <x v="18"/>
    <x v="2"/>
    <x v="6"/>
    <x v="3"/>
    <x v="0"/>
    <x v="19"/>
    <x v="12"/>
    <x v="18"/>
    <x v="0"/>
  </r>
  <r>
    <n v="263"/>
    <x v="1"/>
    <n v="45"/>
    <x v="3"/>
    <x v="18"/>
    <x v="2"/>
    <x v="6"/>
    <x v="3"/>
    <x v="0"/>
    <x v="19"/>
    <x v="12"/>
    <x v="18"/>
    <x v="0"/>
  </r>
  <r>
    <n v="264"/>
    <x v="1"/>
    <n v="45"/>
    <x v="10"/>
    <x v="19"/>
    <x v="2"/>
    <x v="11"/>
    <x v="5"/>
    <x v="0"/>
    <x v="18"/>
    <x v="1"/>
    <x v="10"/>
    <x v="0"/>
  </r>
  <r>
    <n v="265"/>
    <x v="0"/>
    <n v="48"/>
    <x v="1"/>
    <x v="15"/>
    <x v="2"/>
    <x v="14"/>
    <x v="5"/>
    <x v="2"/>
    <x v="21"/>
    <x v="17"/>
    <x v="3"/>
    <x v="2"/>
  </r>
  <r>
    <n v="266"/>
    <x v="1"/>
    <n v="48"/>
    <x v="4"/>
    <x v="2"/>
    <x v="0"/>
    <x v="12"/>
    <x v="1"/>
    <x v="0"/>
    <x v="22"/>
    <x v="1"/>
    <x v="1"/>
    <x v="1"/>
  </r>
  <r>
    <n v="267"/>
    <x v="0"/>
    <n v="48"/>
    <x v="1"/>
    <x v="15"/>
    <x v="2"/>
    <x v="14"/>
    <x v="5"/>
    <x v="2"/>
    <x v="21"/>
    <x v="17"/>
    <x v="3"/>
    <x v="2"/>
  </r>
  <r>
    <n v="268"/>
    <x v="1"/>
    <n v="49"/>
    <x v="4"/>
    <x v="1"/>
    <x v="0"/>
    <x v="12"/>
    <x v="1"/>
    <x v="0"/>
    <x v="22"/>
    <x v="1"/>
    <x v="1"/>
    <x v="0"/>
  </r>
  <r>
    <n v="269"/>
    <x v="1"/>
    <n v="49"/>
    <x v="4"/>
    <x v="5"/>
    <x v="0"/>
    <x v="12"/>
    <x v="1"/>
    <x v="0"/>
    <x v="22"/>
    <x v="1"/>
    <x v="1"/>
    <x v="1"/>
  </r>
  <r>
    <n v="270"/>
    <x v="1"/>
    <n v="49"/>
    <x v="4"/>
    <x v="0"/>
    <x v="0"/>
    <x v="12"/>
    <x v="1"/>
    <x v="0"/>
    <x v="22"/>
    <x v="1"/>
    <x v="1"/>
    <x v="1"/>
  </r>
  <r>
    <n v="271"/>
    <x v="1"/>
    <n v="49"/>
    <x v="4"/>
    <x v="0"/>
    <x v="0"/>
    <x v="12"/>
    <x v="1"/>
    <x v="0"/>
    <x v="22"/>
    <x v="1"/>
    <x v="1"/>
    <x v="1"/>
  </r>
  <r>
    <n v="272"/>
    <x v="1"/>
    <n v="49"/>
    <x v="4"/>
    <x v="0"/>
    <x v="0"/>
    <x v="12"/>
    <x v="1"/>
    <x v="0"/>
    <x v="22"/>
    <x v="1"/>
    <x v="1"/>
    <x v="1"/>
  </r>
  <r>
    <n v="273"/>
    <x v="1"/>
    <n v="49"/>
    <x v="4"/>
    <x v="0"/>
    <x v="0"/>
    <x v="12"/>
    <x v="1"/>
    <x v="0"/>
    <x v="22"/>
    <x v="1"/>
    <x v="1"/>
    <x v="1"/>
  </r>
  <r>
    <n v="274"/>
    <x v="1"/>
    <n v="49"/>
    <x v="4"/>
    <x v="1"/>
    <x v="0"/>
    <x v="12"/>
    <x v="1"/>
    <x v="0"/>
    <x v="22"/>
    <x v="1"/>
    <x v="1"/>
    <x v="1"/>
  </r>
  <r>
    <n v="275"/>
    <x v="1"/>
    <n v="49"/>
    <x v="4"/>
    <x v="1"/>
    <x v="0"/>
    <x v="12"/>
    <x v="1"/>
    <x v="0"/>
    <x v="22"/>
    <x v="1"/>
    <x v="1"/>
    <x v="1"/>
  </r>
  <r>
    <n v="276"/>
    <x v="1"/>
    <n v="49"/>
    <x v="4"/>
    <x v="1"/>
    <x v="0"/>
    <x v="12"/>
    <x v="1"/>
    <x v="0"/>
    <x v="22"/>
    <x v="1"/>
    <x v="1"/>
    <x v="1"/>
  </r>
  <r>
    <n v="277"/>
    <x v="0"/>
    <n v="49"/>
    <x v="1"/>
    <x v="22"/>
    <x v="5"/>
    <x v="15"/>
    <x v="4"/>
    <x v="2"/>
    <x v="23"/>
    <x v="18"/>
    <x v="19"/>
    <x v="1"/>
  </r>
  <r>
    <n v="278"/>
    <x v="0"/>
    <n v="49"/>
    <x v="1"/>
    <x v="22"/>
    <x v="5"/>
    <x v="15"/>
    <x v="4"/>
    <x v="2"/>
    <x v="23"/>
    <x v="18"/>
    <x v="19"/>
    <x v="1"/>
  </r>
  <r>
    <n v="279"/>
    <x v="1"/>
    <n v="50"/>
    <x v="4"/>
    <x v="0"/>
    <x v="0"/>
    <x v="12"/>
    <x v="1"/>
    <x v="0"/>
    <x v="22"/>
    <x v="1"/>
    <x v="1"/>
    <x v="2"/>
  </r>
  <r>
    <n v="280"/>
    <x v="1"/>
    <n v="50"/>
    <x v="5"/>
    <x v="23"/>
    <x v="5"/>
    <x v="2"/>
    <x v="4"/>
    <x v="1"/>
    <x v="1"/>
    <x v="12"/>
    <x v="8"/>
    <x v="0"/>
  </r>
  <r>
    <n v="281"/>
    <x v="1"/>
    <n v="50"/>
    <x v="4"/>
    <x v="5"/>
    <x v="0"/>
    <x v="12"/>
    <x v="1"/>
    <x v="0"/>
    <x v="22"/>
    <x v="1"/>
    <x v="1"/>
    <x v="0"/>
  </r>
  <r>
    <n v="282"/>
    <x v="1"/>
    <n v="50"/>
    <x v="4"/>
    <x v="0"/>
    <x v="0"/>
    <x v="12"/>
    <x v="1"/>
    <x v="0"/>
    <x v="22"/>
    <x v="1"/>
    <x v="1"/>
    <x v="1"/>
  </r>
  <r>
    <n v="283"/>
    <x v="1"/>
    <n v="50"/>
    <x v="4"/>
    <x v="5"/>
    <x v="0"/>
    <x v="12"/>
    <x v="1"/>
    <x v="0"/>
    <x v="22"/>
    <x v="1"/>
    <x v="1"/>
    <x v="1"/>
  </r>
  <r>
    <n v="284"/>
    <x v="1"/>
    <n v="50"/>
    <x v="4"/>
    <x v="5"/>
    <x v="0"/>
    <x v="12"/>
    <x v="1"/>
    <x v="0"/>
    <x v="22"/>
    <x v="1"/>
    <x v="1"/>
    <x v="1"/>
  </r>
  <r>
    <n v="285"/>
    <x v="1"/>
    <n v="50"/>
    <x v="4"/>
    <x v="5"/>
    <x v="0"/>
    <x v="12"/>
    <x v="1"/>
    <x v="0"/>
    <x v="22"/>
    <x v="1"/>
    <x v="1"/>
    <x v="1"/>
  </r>
  <r>
    <n v="286"/>
    <x v="1"/>
    <n v="50"/>
    <x v="4"/>
    <x v="5"/>
    <x v="0"/>
    <x v="12"/>
    <x v="1"/>
    <x v="0"/>
    <x v="22"/>
    <x v="1"/>
    <x v="1"/>
    <x v="1"/>
  </r>
  <r>
    <n v="287"/>
    <x v="1"/>
    <n v="50"/>
    <x v="4"/>
    <x v="5"/>
    <x v="0"/>
    <x v="12"/>
    <x v="1"/>
    <x v="0"/>
    <x v="22"/>
    <x v="1"/>
    <x v="1"/>
    <x v="1"/>
  </r>
  <r>
    <n v="288"/>
    <x v="1"/>
    <n v="50"/>
    <x v="4"/>
    <x v="5"/>
    <x v="0"/>
    <x v="12"/>
    <x v="1"/>
    <x v="0"/>
    <x v="22"/>
    <x v="1"/>
    <x v="1"/>
    <x v="1"/>
  </r>
  <r>
    <n v="289"/>
    <x v="1"/>
    <n v="50"/>
    <x v="4"/>
    <x v="5"/>
    <x v="0"/>
    <x v="12"/>
    <x v="1"/>
    <x v="0"/>
    <x v="22"/>
    <x v="1"/>
    <x v="1"/>
    <x v="1"/>
  </r>
  <r>
    <n v="290"/>
    <x v="1"/>
    <n v="50"/>
    <x v="4"/>
    <x v="0"/>
    <x v="0"/>
    <x v="12"/>
    <x v="1"/>
    <x v="0"/>
    <x v="22"/>
    <x v="1"/>
    <x v="1"/>
    <x v="1"/>
  </r>
  <r>
    <n v="291"/>
    <x v="1"/>
    <n v="50"/>
    <x v="4"/>
    <x v="5"/>
    <x v="0"/>
    <x v="12"/>
    <x v="1"/>
    <x v="0"/>
    <x v="22"/>
    <x v="1"/>
    <x v="1"/>
    <x v="1"/>
  </r>
  <r>
    <n v="292"/>
    <x v="1"/>
    <n v="50"/>
    <x v="4"/>
    <x v="0"/>
    <x v="0"/>
    <x v="12"/>
    <x v="1"/>
    <x v="0"/>
    <x v="22"/>
    <x v="1"/>
    <x v="1"/>
    <x v="1"/>
  </r>
  <r>
    <n v="293"/>
    <x v="1"/>
    <n v="50"/>
    <x v="4"/>
    <x v="0"/>
    <x v="0"/>
    <x v="12"/>
    <x v="1"/>
    <x v="0"/>
    <x v="22"/>
    <x v="1"/>
    <x v="1"/>
    <x v="1"/>
  </r>
  <r>
    <n v="294"/>
    <x v="1"/>
    <n v="50"/>
    <x v="4"/>
    <x v="5"/>
    <x v="0"/>
    <x v="12"/>
    <x v="1"/>
    <x v="0"/>
    <x v="22"/>
    <x v="1"/>
    <x v="1"/>
    <x v="1"/>
  </r>
  <r>
    <n v="295"/>
    <x v="1"/>
    <n v="50"/>
    <x v="4"/>
    <x v="0"/>
    <x v="0"/>
    <x v="12"/>
    <x v="1"/>
    <x v="0"/>
    <x v="22"/>
    <x v="1"/>
    <x v="1"/>
    <x v="1"/>
  </r>
  <r>
    <n v="296"/>
    <x v="1"/>
    <n v="50"/>
    <x v="4"/>
    <x v="5"/>
    <x v="0"/>
    <x v="12"/>
    <x v="1"/>
    <x v="0"/>
    <x v="22"/>
    <x v="1"/>
    <x v="1"/>
    <x v="1"/>
  </r>
  <r>
    <n v="297"/>
    <x v="1"/>
    <n v="50"/>
    <x v="4"/>
    <x v="0"/>
    <x v="0"/>
    <x v="12"/>
    <x v="1"/>
    <x v="0"/>
    <x v="22"/>
    <x v="1"/>
    <x v="1"/>
    <x v="1"/>
  </r>
  <r>
    <n v="298"/>
    <x v="1"/>
    <n v="50"/>
    <x v="4"/>
    <x v="0"/>
    <x v="0"/>
    <x v="12"/>
    <x v="1"/>
    <x v="0"/>
    <x v="22"/>
    <x v="1"/>
    <x v="1"/>
    <x v="1"/>
  </r>
  <r>
    <n v="299"/>
    <x v="1"/>
    <n v="51"/>
    <x v="5"/>
    <x v="24"/>
    <x v="5"/>
    <x v="2"/>
    <x v="4"/>
    <x v="1"/>
    <x v="1"/>
    <x v="12"/>
    <x v="8"/>
    <x v="0"/>
  </r>
  <r>
    <n v="300"/>
    <x v="1"/>
    <n v="51"/>
    <x v="5"/>
    <x v="24"/>
    <x v="5"/>
    <x v="2"/>
    <x v="4"/>
    <x v="1"/>
    <x v="1"/>
    <x v="12"/>
    <x v="8"/>
    <x v="0"/>
  </r>
  <r>
    <n v="301"/>
    <x v="1"/>
    <n v="51"/>
    <x v="5"/>
    <x v="24"/>
    <x v="5"/>
    <x v="2"/>
    <x v="4"/>
    <x v="1"/>
    <x v="1"/>
    <x v="12"/>
    <x v="8"/>
    <x v="0"/>
  </r>
  <r>
    <n v="302"/>
    <x v="1"/>
    <n v="51"/>
    <x v="5"/>
    <x v="24"/>
    <x v="5"/>
    <x v="2"/>
    <x v="4"/>
    <x v="1"/>
    <x v="1"/>
    <x v="12"/>
    <x v="8"/>
    <x v="0"/>
  </r>
  <r>
    <n v="303"/>
    <x v="1"/>
    <n v="51"/>
    <x v="4"/>
    <x v="17"/>
    <x v="2"/>
    <x v="11"/>
    <x v="0"/>
    <x v="3"/>
    <x v="18"/>
    <x v="8"/>
    <x v="18"/>
    <x v="0"/>
  </r>
  <r>
    <n v="304"/>
    <x v="1"/>
    <n v="51"/>
    <x v="4"/>
    <x v="5"/>
    <x v="0"/>
    <x v="12"/>
    <x v="1"/>
    <x v="0"/>
    <x v="22"/>
    <x v="1"/>
    <x v="1"/>
    <x v="1"/>
  </r>
  <r>
    <n v="305"/>
    <x v="1"/>
    <n v="51"/>
    <x v="4"/>
    <x v="0"/>
    <x v="0"/>
    <x v="12"/>
    <x v="1"/>
    <x v="0"/>
    <x v="22"/>
    <x v="1"/>
    <x v="1"/>
    <x v="1"/>
  </r>
  <r>
    <n v="306"/>
    <x v="1"/>
    <n v="51"/>
    <x v="4"/>
    <x v="0"/>
    <x v="0"/>
    <x v="12"/>
    <x v="1"/>
    <x v="0"/>
    <x v="22"/>
    <x v="1"/>
    <x v="1"/>
    <x v="1"/>
  </r>
  <r>
    <n v="307"/>
    <x v="1"/>
    <n v="52"/>
    <x v="6"/>
    <x v="6"/>
    <x v="2"/>
    <x v="6"/>
    <x v="2"/>
    <x v="0"/>
    <x v="14"/>
    <x v="8"/>
    <x v="18"/>
    <x v="2"/>
  </r>
  <r>
    <n v="308"/>
    <x v="1"/>
    <n v="52"/>
    <x v="6"/>
    <x v="6"/>
    <x v="2"/>
    <x v="6"/>
    <x v="2"/>
    <x v="0"/>
    <x v="14"/>
    <x v="8"/>
    <x v="18"/>
    <x v="2"/>
  </r>
  <r>
    <n v="309"/>
    <x v="1"/>
    <n v="52"/>
    <x v="6"/>
    <x v="18"/>
    <x v="2"/>
    <x v="6"/>
    <x v="2"/>
    <x v="0"/>
    <x v="14"/>
    <x v="8"/>
    <x v="18"/>
    <x v="2"/>
  </r>
  <r>
    <n v="310"/>
    <x v="1"/>
    <n v="52"/>
    <x v="6"/>
    <x v="18"/>
    <x v="2"/>
    <x v="6"/>
    <x v="2"/>
    <x v="0"/>
    <x v="14"/>
    <x v="8"/>
    <x v="18"/>
    <x v="2"/>
  </r>
  <r>
    <n v="311"/>
    <x v="1"/>
    <n v="52"/>
    <x v="6"/>
    <x v="18"/>
    <x v="2"/>
    <x v="6"/>
    <x v="2"/>
    <x v="0"/>
    <x v="14"/>
    <x v="8"/>
    <x v="18"/>
    <x v="2"/>
  </r>
  <r>
    <n v="312"/>
    <x v="1"/>
    <n v="52"/>
    <x v="6"/>
    <x v="18"/>
    <x v="2"/>
    <x v="6"/>
    <x v="2"/>
    <x v="0"/>
    <x v="14"/>
    <x v="8"/>
    <x v="18"/>
    <x v="2"/>
  </r>
  <r>
    <n v="313"/>
    <x v="1"/>
    <n v="52"/>
    <x v="5"/>
    <x v="25"/>
    <x v="5"/>
    <x v="2"/>
    <x v="4"/>
    <x v="1"/>
    <x v="1"/>
    <x v="12"/>
    <x v="8"/>
    <x v="0"/>
  </r>
  <r>
    <n v="314"/>
    <x v="1"/>
    <n v="52"/>
    <x v="5"/>
    <x v="25"/>
    <x v="5"/>
    <x v="2"/>
    <x v="4"/>
    <x v="1"/>
    <x v="1"/>
    <x v="12"/>
    <x v="8"/>
    <x v="0"/>
  </r>
  <r>
    <n v="315"/>
    <x v="1"/>
    <n v="52"/>
    <x v="5"/>
    <x v="25"/>
    <x v="5"/>
    <x v="2"/>
    <x v="4"/>
    <x v="1"/>
    <x v="1"/>
    <x v="12"/>
    <x v="8"/>
    <x v="0"/>
  </r>
  <r>
    <n v="316"/>
    <x v="1"/>
    <n v="53"/>
    <x v="5"/>
    <x v="23"/>
    <x v="5"/>
    <x v="2"/>
    <x v="4"/>
    <x v="1"/>
    <x v="1"/>
    <x v="12"/>
    <x v="8"/>
    <x v="2"/>
  </r>
  <r>
    <n v="317"/>
    <x v="1"/>
    <n v="53"/>
    <x v="5"/>
    <x v="24"/>
    <x v="5"/>
    <x v="2"/>
    <x v="4"/>
    <x v="1"/>
    <x v="1"/>
    <x v="12"/>
    <x v="8"/>
    <x v="0"/>
  </r>
  <r>
    <n v="318"/>
    <x v="1"/>
    <n v="53"/>
    <x v="5"/>
    <x v="24"/>
    <x v="5"/>
    <x v="2"/>
    <x v="4"/>
    <x v="1"/>
    <x v="1"/>
    <x v="12"/>
    <x v="8"/>
    <x v="0"/>
  </r>
  <r>
    <n v="319"/>
    <x v="1"/>
    <n v="53"/>
    <x v="5"/>
    <x v="25"/>
    <x v="5"/>
    <x v="2"/>
    <x v="4"/>
    <x v="1"/>
    <x v="1"/>
    <x v="12"/>
    <x v="8"/>
    <x v="0"/>
  </r>
  <r>
    <n v="320"/>
    <x v="1"/>
    <n v="53"/>
    <x v="5"/>
    <x v="25"/>
    <x v="5"/>
    <x v="2"/>
    <x v="4"/>
    <x v="1"/>
    <x v="1"/>
    <x v="12"/>
    <x v="8"/>
    <x v="0"/>
  </r>
  <r>
    <n v="321"/>
    <x v="1"/>
    <n v="53"/>
    <x v="5"/>
    <x v="24"/>
    <x v="5"/>
    <x v="2"/>
    <x v="4"/>
    <x v="1"/>
    <x v="1"/>
    <x v="12"/>
    <x v="8"/>
    <x v="0"/>
  </r>
  <r>
    <n v="322"/>
    <x v="1"/>
    <n v="53"/>
    <x v="5"/>
    <x v="25"/>
    <x v="5"/>
    <x v="2"/>
    <x v="4"/>
    <x v="1"/>
    <x v="1"/>
    <x v="12"/>
    <x v="8"/>
    <x v="0"/>
  </r>
  <r>
    <n v="323"/>
    <x v="1"/>
    <n v="53"/>
    <x v="5"/>
    <x v="25"/>
    <x v="5"/>
    <x v="2"/>
    <x v="4"/>
    <x v="1"/>
    <x v="1"/>
    <x v="12"/>
    <x v="8"/>
    <x v="0"/>
  </r>
  <r>
    <n v="324"/>
    <x v="1"/>
    <n v="53"/>
    <x v="5"/>
    <x v="24"/>
    <x v="5"/>
    <x v="2"/>
    <x v="4"/>
    <x v="1"/>
    <x v="1"/>
    <x v="12"/>
    <x v="8"/>
    <x v="0"/>
  </r>
  <r>
    <n v="325"/>
    <x v="1"/>
    <n v="53"/>
    <x v="5"/>
    <x v="23"/>
    <x v="5"/>
    <x v="2"/>
    <x v="4"/>
    <x v="1"/>
    <x v="1"/>
    <x v="12"/>
    <x v="8"/>
    <x v="0"/>
  </r>
  <r>
    <n v="326"/>
    <x v="1"/>
    <n v="53"/>
    <x v="5"/>
    <x v="24"/>
    <x v="5"/>
    <x v="2"/>
    <x v="4"/>
    <x v="1"/>
    <x v="1"/>
    <x v="12"/>
    <x v="8"/>
    <x v="0"/>
  </r>
  <r>
    <n v="327"/>
    <x v="1"/>
    <n v="53"/>
    <x v="5"/>
    <x v="23"/>
    <x v="5"/>
    <x v="2"/>
    <x v="4"/>
    <x v="1"/>
    <x v="1"/>
    <x v="12"/>
    <x v="8"/>
    <x v="0"/>
  </r>
  <r>
    <n v="328"/>
    <x v="1"/>
    <n v="53"/>
    <x v="5"/>
    <x v="24"/>
    <x v="5"/>
    <x v="2"/>
    <x v="4"/>
    <x v="1"/>
    <x v="1"/>
    <x v="12"/>
    <x v="8"/>
    <x v="0"/>
  </r>
  <r>
    <n v="329"/>
    <x v="1"/>
    <n v="53"/>
    <x v="5"/>
    <x v="23"/>
    <x v="5"/>
    <x v="2"/>
    <x v="4"/>
    <x v="1"/>
    <x v="1"/>
    <x v="12"/>
    <x v="8"/>
    <x v="0"/>
  </r>
  <r>
    <n v="330"/>
    <x v="1"/>
    <n v="53"/>
    <x v="5"/>
    <x v="24"/>
    <x v="5"/>
    <x v="2"/>
    <x v="4"/>
    <x v="1"/>
    <x v="1"/>
    <x v="12"/>
    <x v="8"/>
    <x v="0"/>
  </r>
  <r>
    <n v="331"/>
    <x v="1"/>
    <n v="53"/>
    <x v="5"/>
    <x v="24"/>
    <x v="5"/>
    <x v="2"/>
    <x v="4"/>
    <x v="1"/>
    <x v="1"/>
    <x v="12"/>
    <x v="8"/>
    <x v="0"/>
  </r>
  <r>
    <n v="332"/>
    <x v="1"/>
    <n v="53"/>
    <x v="5"/>
    <x v="25"/>
    <x v="5"/>
    <x v="2"/>
    <x v="4"/>
    <x v="1"/>
    <x v="1"/>
    <x v="12"/>
    <x v="8"/>
    <x v="0"/>
  </r>
  <r>
    <n v="333"/>
    <x v="1"/>
    <n v="54"/>
    <x v="5"/>
    <x v="25"/>
    <x v="5"/>
    <x v="2"/>
    <x v="4"/>
    <x v="1"/>
    <x v="1"/>
    <x v="12"/>
    <x v="8"/>
    <x v="0"/>
  </r>
  <r>
    <n v="334"/>
    <x v="1"/>
    <n v="54"/>
    <x v="5"/>
    <x v="25"/>
    <x v="5"/>
    <x v="2"/>
    <x v="4"/>
    <x v="1"/>
    <x v="1"/>
    <x v="12"/>
    <x v="8"/>
    <x v="0"/>
  </r>
  <r>
    <n v="335"/>
    <x v="1"/>
    <n v="54"/>
    <x v="5"/>
    <x v="25"/>
    <x v="5"/>
    <x v="2"/>
    <x v="4"/>
    <x v="1"/>
    <x v="1"/>
    <x v="12"/>
    <x v="8"/>
    <x v="0"/>
  </r>
  <r>
    <n v="336"/>
    <x v="1"/>
    <n v="54"/>
    <x v="5"/>
    <x v="25"/>
    <x v="5"/>
    <x v="2"/>
    <x v="4"/>
    <x v="1"/>
    <x v="1"/>
    <x v="12"/>
    <x v="8"/>
    <x v="0"/>
  </r>
  <r>
    <n v="337"/>
    <x v="1"/>
    <n v="54"/>
    <x v="5"/>
    <x v="25"/>
    <x v="5"/>
    <x v="2"/>
    <x v="4"/>
    <x v="1"/>
    <x v="1"/>
    <x v="12"/>
    <x v="8"/>
    <x v="0"/>
  </r>
  <r>
    <n v="338"/>
    <x v="1"/>
    <n v="54"/>
    <x v="5"/>
    <x v="25"/>
    <x v="5"/>
    <x v="2"/>
    <x v="4"/>
    <x v="1"/>
    <x v="1"/>
    <x v="12"/>
    <x v="8"/>
    <x v="0"/>
  </r>
  <r>
    <n v="339"/>
    <x v="1"/>
    <n v="54"/>
    <x v="5"/>
    <x v="24"/>
    <x v="5"/>
    <x v="2"/>
    <x v="4"/>
    <x v="1"/>
    <x v="1"/>
    <x v="12"/>
    <x v="8"/>
    <x v="0"/>
  </r>
  <r>
    <n v="340"/>
    <x v="1"/>
    <n v="55"/>
    <x v="4"/>
    <x v="22"/>
    <x v="5"/>
    <x v="4"/>
    <x v="3"/>
    <x v="0"/>
    <x v="22"/>
    <x v="8"/>
    <x v="8"/>
    <x v="1"/>
  </r>
  <r>
    <n v="341"/>
    <x v="1"/>
    <n v="55"/>
    <x v="4"/>
    <x v="22"/>
    <x v="5"/>
    <x v="4"/>
    <x v="3"/>
    <x v="0"/>
    <x v="22"/>
    <x v="8"/>
    <x v="8"/>
    <x v="1"/>
  </r>
  <r>
    <n v="342"/>
    <x v="1"/>
    <n v="56"/>
    <x v="1"/>
    <x v="26"/>
    <x v="5"/>
    <x v="12"/>
    <x v="4"/>
    <x v="3"/>
    <x v="24"/>
    <x v="12"/>
    <x v="1"/>
    <x v="0"/>
  </r>
  <r>
    <n v="343"/>
    <x v="1"/>
    <n v="56"/>
    <x v="1"/>
    <x v="26"/>
    <x v="5"/>
    <x v="12"/>
    <x v="4"/>
    <x v="3"/>
    <x v="24"/>
    <x v="12"/>
    <x v="1"/>
    <x v="0"/>
  </r>
  <r>
    <n v="344"/>
    <x v="1"/>
    <n v="57"/>
    <x v="4"/>
    <x v="22"/>
    <x v="5"/>
    <x v="4"/>
    <x v="4"/>
    <x v="0"/>
    <x v="22"/>
    <x v="9"/>
    <x v="9"/>
    <x v="0"/>
  </r>
  <r>
    <n v="345"/>
    <x v="1"/>
    <n v="57"/>
    <x v="4"/>
    <x v="26"/>
    <x v="5"/>
    <x v="4"/>
    <x v="4"/>
    <x v="0"/>
    <x v="22"/>
    <x v="9"/>
    <x v="9"/>
    <x v="1"/>
  </r>
  <r>
    <n v="346"/>
    <x v="1"/>
    <n v="57"/>
    <x v="4"/>
    <x v="26"/>
    <x v="5"/>
    <x v="4"/>
    <x v="4"/>
    <x v="0"/>
    <x v="22"/>
    <x v="9"/>
    <x v="9"/>
    <x v="1"/>
  </r>
  <r>
    <n v="347"/>
    <x v="1"/>
    <n v="57"/>
    <x v="4"/>
    <x v="26"/>
    <x v="5"/>
    <x v="4"/>
    <x v="4"/>
    <x v="0"/>
    <x v="22"/>
    <x v="9"/>
    <x v="9"/>
    <x v="1"/>
  </r>
  <r>
    <n v="348"/>
    <x v="1"/>
    <n v="57"/>
    <x v="4"/>
    <x v="26"/>
    <x v="5"/>
    <x v="4"/>
    <x v="4"/>
    <x v="0"/>
    <x v="22"/>
    <x v="9"/>
    <x v="9"/>
    <x v="1"/>
  </r>
  <r>
    <n v="349"/>
    <x v="1"/>
    <n v="57"/>
    <x v="4"/>
    <x v="26"/>
    <x v="5"/>
    <x v="4"/>
    <x v="4"/>
    <x v="0"/>
    <x v="22"/>
    <x v="9"/>
    <x v="9"/>
    <x v="1"/>
  </r>
  <r>
    <n v="350"/>
    <x v="1"/>
    <n v="57"/>
    <x v="4"/>
    <x v="22"/>
    <x v="5"/>
    <x v="4"/>
    <x v="4"/>
    <x v="0"/>
    <x v="22"/>
    <x v="9"/>
    <x v="9"/>
    <x v="1"/>
  </r>
  <r>
    <n v="351"/>
    <x v="1"/>
    <n v="57"/>
    <x v="4"/>
    <x v="22"/>
    <x v="5"/>
    <x v="4"/>
    <x v="4"/>
    <x v="0"/>
    <x v="22"/>
    <x v="9"/>
    <x v="9"/>
    <x v="1"/>
  </r>
  <r>
    <n v="352"/>
    <x v="1"/>
    <n v="57"/>
    <x v="4"/>
    <x v="22"/>
    <x v="5"/>
    <x v="4"/>
    <x v="4"/>
    <x v="0"/>
    <x v="22"/>
    <x v="9"/>
    <x v="9"/>
    <x v="1"/>
  </r>
  <r>
    <n v="353"/>
    <x v="1"/>
    <n v="58"/>
    <x v="4"/>
    <x v="20"/>
    <x v="5"/>
    <x v="4"/>
    <x v="4"/>
    <x v="0"/>
    <x v="22"/>
    <x v="9"/>
    <x v="9"/>
    <x v="1"/>
  </r>
  <r>
    <n v="354"/>
    <x v="1"/>
    <n v="58"/>
    <x v="4"/>
    <x v="20"/>
    <x v="5"/>
    <x v="4"/>
    <x v="4"/>
    <x v="0"/>
    <x v="22"/>
    <x v="9"/>
    <x v="9"/>
    <x v="1"/>
  </r>
  <r>
    <n v="355"/>
    <x v="1"/>
    <n v="58"/>
    <x v="4"/>
    <x v="20"/>
    <x v="5"/>
    <x v="4"/>
    <x v="4"/>
    <x v="0"/>
    <x v="22"/>
    <x v="9"/>
    <x v="9"/>
    <x v="1"/>
  </r>
  <r>
    <n v="356"/>
    <x v="1"/>
    <n v="58"/>
    <x v="4"/>
    <x v="20"/>
    <x v="5"/>
    <x v="4"/>
    <x v="4"/>
    <x v="0"/>
    <x v="22"/>
    <x v="9"/>
    <x v="9"/>
    <x v="1"/>
  </r>
  <r>
    <n v="357"/>
    <x v="1"/>
    <n v="58"/>
    <x v="4"/>
    <x v="20"/>
    <x v="5"/>
    <x v="4"/>
    <x v="4"/>
    <x v="0"/>
    <x v="22"/>
    <x v="9"/>
    <x v="9"/>
    <x v="1"/>
  </r>
  <r>
    <n v="358"/>
    <x v="1"/>
    <n v="58"/>
    <x v="4"/>
    <x v="20"/>
    <x v="5"/>
    <x v="4"/>
    <x v="4"/>
    <x v="0"/>
    <x v="22"/>
    <x v="9"/>
    <x v="9"/>
    <x v="1"/>
  </r>
  <r>
    <n v="359"/>
    <x v="1"/>
    <n v="59"/>
    <x v="4"/>
    <x v="20"/>
    <x v="5"/>
    <x v="4"/>
    <x v="4"/>
    <x v="0"/>
    <x v="22"/>
    <x v="9"/>
    <x v="9"/>
    <x v="0"/>
  </r>
  <r>
    <n v="360"/>
    <x v="1"/>
    <n v="59"/>
    <x v="4"/>
    <x v="22"/>
    <x v="5"/>
    <x v="4"/>
    <x v="4"/>
    <x v="0"/>
    <x v="22"/>
    <x v="9"/>
    <x v="9"/>
    <x v="0"/>
  </r>
  <r>
    <n v="361"/>
    <x v="1"/>
    <n v="59"/>
    <x v="4"/>
    <x v="26"/>
    <x v="5"/>
    <x v="4"/>
    <x v="4"/>
    <x v="0"/>
    <x v="22"/>
    <x v="9"/>
    <x v="9"/>
    <x v="1"/>
  </r>
  <r>
    <n v="362"/>
    <x v="1"/>
    <n v="59"/>
    <x v="4"/>
    <x v="26"/>
    <x v="5"/>
    <x v="4"/>
    <x v="4"/>
    <x v="0"/>
    <x v="22"/>
    <x v="9"/>
    <x v="9"/>
    <x v="1"/>
  </r>
  <r>
    <n v="363"/>
    <x v="1"/>
    <n v="59"/>
    <x v="4"/>
    <x v="26"/>
    <x v="5"/>
    <x v="4"/>
    <x v="4"/>
    <x v="0"/>
    <x v="22"/>
    <x v="9"/>
    <x v="9"/>
    <x v="1"/>
  </r>
  <r>
    <n v="364"/>
    <x v="1"/>
    <n v="59"/>
    <x v="4"/>
    <x v="26"/>
    <x v="5"/>
    <x v="4"/>
    <x v="4"/>
    <x v="0"/>
    <x v="22"/>
    <x v="9"/>
    <x v="9"/>
    <x v="1"/>
  </r>
  <r>
    <n v="365"/>
    <x v="1"/>
    <n v="59"/>
    <x v="4"/>
    <x v="20"/>
    <x v="5"/>
    <x v="4"/>
    <x v="4"/>
    <x v="0"/>
    <x v="22"/>
    <x v="9"/>
    <x v="9"/>
    <x v="1"/>
  </r>
  <r>
    <n v="366"/>
    <x v="1"/>
    <n v="59"/>
    <x v="4"/>
    <x v="20"/>
    <x v="5"/>
    <x v="4"/>
    <x v="4"/>
    <x v="0"/>
    <x v="22"/>
    <x v="9"/>
    <x v="9"/>
    <x v="1"/>
  </r>
  <r>
    <n v="367"/>
    <x v="1"/>
    <n v="59"/>
    <x v="4"/>
    <x v="22"/>
    <x v="5"/>
    <x v="4"/>
    <x v="4"/>
    <x v="0"/>
    <x v="22"/>
    <x v="9"/>
    <x v="9"/>
    <x v="1"/>
  </r>
  <r>
    <n v="368"/>
    <x v="1"/>
    <n v="59"/>
    <x v="4"/>
    <x v="20"/>
    <x v="5"/>
    <x v="4"/>
    <x v="4"/>
    <x v="0"/>
    <x v="22"/>
    <x v="9"/>
    <x v="9"/>
    <x v="1"/>
  </r>
  <r>
    <n v="369"/>
    <x v="1"/>
    <n v="59"/>
    <x v="4"/>
    <x v="22"/>
    <x v="5"/>
    <x v="4"/>
    <x v="4"/>
    <x v="0"/>
    <x v="22"/>
    <x v="9"/>
    <x v="9"/>
    <x v="1"/>
  </r>
  <r>
    <n v="370"/>
    <x v="1"/>
    <n v="59"/>
    <x v="4"/>
    <x v="22"/>
    <x v="5"/>
    <x v="4"/>
    <x v="4"/>
    <x v="0"/>
    <x v="22"/>
    <x v="9"/>
    <x v="9"/>
    <x v="1"/>
  </r>
  <r>
    <n v="371"/>
    <x v="1"/>
    <n v="59"/>
    <x v="4"/>
    <x v="20"/>
    <x v="5"/>
    <x v="4"/>
    <x v="4"/>
    <x v="0"/>
    <x v="22"/>
    <x v="9"/>
    <x v="9"/>
    <x v="1"/>
  </r>
  <r>
    <n v="372"/>
    <x v="1"/>
    <n v="59"/>
    <x v="4"/>
    <x v="22"/>
    <x v="5"/>
    <x v="4"/>
    <x v="4"/>
    <x v="0"/>
    <x v="22"/>
    <x v="9"/>
    <x v="9"/>
    <x v="1"/>
  </r>
  <r>
    <n v="373"/>
    <x v="1"/>
    <n v="59"/>
    <x v="4"/>
    <x v="22"/>
    <x v="5"/>
    <x v="4"/>
    <x v="4"/>
    <x v="0"/>
    <x v="22"/>
    <x v="9"/>
    <x v="9"/>
    <x v="1"/>
  </r>
  <r>
    <n v="374"/>
    <x v="1"/>
    <n v="59"/>
    <x v="4"/>
    <x v="22"/>
    <x v="5"/>
    <x v="4"/>
    <x v="4"/>
    <x v="0"/>
    <x v="22"/>
    <x v="9"/>
    <x v="9"/>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n v="27"/>
    <x v="0"/>
    <x v="0"/>
    <x v="0"/>
    <x v="0"/>
    <x v="0"/>
    <x v="0"/>
    <x v="0"/>
    <x v="0"/>
    <x v="0"/>
    <x v="0"/>
  </r>
  <r>
    <n v="2"/>
    <x v="0"/>
    <n v="28"/>
    <x v="1"/>
    <x v="1"/>
    <x v="0"/>
    <x v="1"/>
    <x v="1"/>
    <x v="1"/>
    <x v="1"/>
    <x v="1"/>
    <x v="1"/>
    <x v="0"/>
  </r>
  <r>
    <n v="3"/>
    <x v="0"/>
    <n v="28"/>
    <x v="1"/>
    <x v="1"/>
    <x v="0"/>
    <x v="1"/>
    <x v="1"/>
    <x v="1"/>
    <x v="1"/>
    <x v="1"/>
    <x v="1"/>
    <x v="0"/>
  </r>
  <r>
    <n v="4"/>
    <x v="0"/>
    <n v="28"/>
    <x v="2"/>
    <x v="2"/>
    <x v="1"/>
    <x v="2"/>
    <x v="1"/>
    <x v="2"/>
    <x v="2"/>
    <x v="2"/>
    <x v="2"/>
    <x v="1"/>
  </r>
  <r>
    <n v="5"/>
    <x v="0"/>
    <n v="28"/>
    <x v="2"/>
    <x v="2"/>
    <x v="1"/>
    <x v="2"/>
    <x v="1"/>
    <x v="2"/>
    <x v="2"/>
    <x v="2"/>
    <x v="2"/>
    <x v="1"/>
  </r>
  <r>
    <n v="6"/>
    <x v="0"/>
    <n v="28"/>
    <x v="0"/>
    <x v="2"/>
    <x v="1"/>
    <x v="2"/>
    <x v="1"/>
    <x v="2"/>
    <x v="2"/>
    <x v="2"/>
    <x v="2"/>
    <x v="2"/>
  </r>
  <r>
    <n v="7"/>
    <x v="0"/>
    <n v="29"/>
    <x v="3"/>
    <x v="3"/>
    <x v="0"/>
    <x v="3"/>
    <x v="2"/>
    <x v="2"/>
    <x v="2"/>
    <x v="3"/>
    <x v="3"/>
    <x v="2"/>
  </r>
  <r>
    <n v="8"/>
    <x v="0"/>
    <n v="29"/>
    <x v="1"/>
    <x v="4"/>
    <x v="2"/>
    <x v="4"/>
    <x v="0"/>
    <x v="1"/>
    <x v="3"/>
    <x v="4"/>
    <x v="4"/>
    <x v="0"/>
  </r>
  <r>
    <n v="9"/>
    <x v="0"/>
    <n v="29"/>
    <x v="1"/>
    <x v="4"/>
    <x v="2"/>
    <x v="4"/>
    <x v="0"/>
    <x v="1"/>
    <x v="3"/>
    <x v="4"/>
    <x v="4"/>
    <x v="0"/>
  </r>
  <r>
    <n v="10"/>
    <x v="0"/>
    <n v="29"/>
    <x v="1"/>
    <x v="4"/>
    <x v="2"/>
    <x v="4"/>
    <x v="0"/>
    <x v="1"/>
    <x v="3"/>
    <x v="4"/>
    <x v="4"/>
    <x v="0"/>
  </r>
  <r>
    <n v="11"/>
    <x v="0"/>
    <n v="29"/>
    <x v="1"/>
    <x v="0"/>
    <x v="0"/>
    <x v="2"/>
    <x v="1"/>
    <x v="1"/>
    <x v="3"/>
    <x v="4"/>
    <x v="4"/>
    <x v="0"/>
  </r>
  <r>
    <n v="12"/>
    <x v="0"/>
    <n v="29"/>
    <x v="1"/>
    <x v="4"/>
    <x v="2"/>
    <x v="4"/>
    <x v="0"/>
    <x v="1"/>
    <x v="3"/>
    <x v="4"/>
    <x v="4"/>
    <x v="0"/>
  </r>
  <r>
    <n v="13"/>
    <x v="0"/>
    <n v="29"/>
    <x v="1"/>
    <x v="0"/>
    <x v="0"/>
    <x v="2"/>
    <x v="1"/>
    <x v="1"/>
    <x v="3"/>
    <x v="4"/>
    <x v="4"/>
    <x v="0"/>
  </r>
  <r>
    <n v="14"/>
    <x v="0"/>
    <n v="29"/>
    <x v="1"/>
    <x v="5"/>
    <x v="0"/>
    <x v="2"/>
    <x v="1"/>
    <x v="1"/>
    <x v="3"/>
    <x v="4"/>
    <x v="4"/>
    <x v="0"/>
  </r>
  <r>
    <n v="15"/>
    <x v="0"/>
    <n v="29"/>
    <x v="1"/>
    <x v="5"/>
    <x v="0"/>
    <x v="2"/>
    <x v="1"/>
    <x v="1"/>
    <x v="3"/>
    <x v="4"/>
    <x v="4"/>
    <x v="0"/>
  </r>
  <r>
    <n v="16"/>
    <x v="0"/>
    <n v="29"/>
    <x v="1"/>
    <x v="5"/>
    <x v="0"/>
    <x v="2"/>
    <x v="1"/>
    <x v="1"/>
    <x v="3"/>
    <x v="4"/>
    <x v="4"/>
    <x v="0"/>
  </r>
  <r>
    <n v="17"/>
    <x v="1"/>
    <n v="29"/>
    <x v="4"/>
    <x v="6"/>
    <x v="3"/>
    <x v="3"/>
    <x v="2"/>
    <x v="3"/>
    <x v="4"/>
    <x v="5"/>
    <x v="5"/>
    <x v="1"/>
  </r>
  <r>
    <n v="18"/>
    <x v="0"/>
    <n v="29"/>
    <x v="1"/>
    <x v="5"/>
    <x v="0"/>
    <x v="2"/>
    <x v="1"/>
    <x v="1"/>
    <x v="3"/>
    <x v="4"/>
    <x v="4"/>
    <x v="1"/>
  </r>
  <r>
    <n v="19"/>
    <x v="1"/>
    <n v="29"/>
    <x v="4"/>
    <x v="6"/>
    <x v="3"/>
    <x v="3"/>
    <x v="2"/>
    <x v="3"/>
    <x v="4"/>
    <x v="5"/>
    <x v="5"/>
    <x v="2"/>
  </r>
  <r>
    <n v="20"/>
    <x v="0"/>
    <n v="30"/>
    <x v="1"/>
    <x v="7"/>
    <x v="2"/>
    <x v="4"/>
    <x v="0"/>
    <x v="1"/>
    <x v="3"/>
    <x v="4"/>
    <x v="4"/>
    <x v="0"/>
  </r>
  <r>
    <n v="21"/>
    <x v="0"/>
    <n v="30"/>
    <x v="1"/>
    <x v="8"/>
    <x v="2"/>
    <x v="4"/>
    <x v="0"/>
    <x v="1"/>
    <x v="3"/>
    <x v="4"/>
    <x v="4"/>
    <x v="0"/>
  </r>
  <r>
    <n v="22"/>
    <x v="0"/>
    <n v="30"/>
    <x v="1"/>
    <x v="8"/>
    <x v="2"/>
    <x v="4"/>
    <x v="0"/>
    <x v="1"/>
    <x v="3"/>
    <x v="4"/>
    <x v="4"/>
    <x v="0"/>
  </r>
  <r>
    <n v="23"/>
    <x v="0"/>
    <n v="30"/>
    <x v="1"/>
    <x v="8"/>
    <x v="2"/>
    <x v="4"/>
    <x v="0"/>
    <x v="1"/>
    <x v="3"/>
    <x v="4"/>
    <x v="4"/>
    <x v="0"/>
  </r>
  <r>
    <n v="24"/>
    <x v="0"/>
    <n v="30"/>
    <x v="1"/>
    <x v="8"/>
    <x v="2"/>
    <x v="4"/>
    <x v="0"/>
    <x v="1"/>
    <x v="3"/>
    <x v="4"/>
    <x v="4"/>
    <x v="0"/>
  </r>
  <r>
    <n v="25"/>
    <x v="0"/>
    <n v="30"/>
    <x v="1"/>
    <x v="4"/>
    <x v="2"/>
    <x v="4"/>
    <x v="0"/>
    <x v="1"/>
    <x v="3"/>
    <x v="4"/>
    <x v="4"/>
    <x v="0"/>
  </r>
  <r>
    <n v="26"/>
    <x v="0"/>
    <n v="30"/>
    <x v="1"/>
    <x v="9"/>
    <x v="2"/>
    <x v="4"/>
    <x v="0"/>
    <x v="1"/>
    <x v="3"/>
    <x v="4"/>
    <x v="4"/>
    <x v="0"/>
  </r>
  <r>
    <n v="27"/>
    <x v="0"/>
    <n v="30"/>
    <x v="1"/>
    <x v="4"/>
    <x v="2"/>
    <x v="4"/>
    <x v="0"/>
    <x v="1"/>
    <x v="3"/>
    <x v="4"/>
    <x v="4"/>
    <x v="0"/>
  </r>
  <r>
    <n v="28"/>
    <x v="0"/>
    <n v="30"/>
    <x v="1"/>
    <x v="9"/>
    <x v="2"/>
    <x v="4"/>
    <x v="0"/>
    <x v="1"/>
    <x v="3"/>
    <x v="4"/>
    <x v="4"/>
    <x v="0"/>
  </r>
  <r>
    <n v="29"/>
    <x v="0"/>
    <n v="30"/>
    <x v="1"/>
    <x v="9"/>
    <x v="2"/>
    <x v="4"/>
    <x v="0"/>
    <x v="1"/>
    <x v="3"/>
    <x v="4"/>
    <x v="4"/>
    <x v="0"/>
  </r>
  <r>
    <n v="30"/>
    <x v="0"/>
    <n v="30"/>
    <x v="1"/>
    <x v="9"/>
    <x v="2"/>
    <x v="4"/>
    <x v="0"/>
    <x v="1"/>
    <x v="3"/>
    <x v="4"/>
    <x v="4"/>
    <x v="0"/>
  </r>
  <r>
    <n v="31"/>
    <x v="1"/>
    <n v="30"/>
    <x v="4"/>
    <x v="10"/>
    <x v="3"/>
    <x v="5"/>
    <x v="2"/>
    <x v="3"/>
    <x v="5"/>
    <x v="6"/>
    <x v="6"/>
    <x v="1"/>
  </r>
  <r>
    <n v="32"/>
    <x v="1"/>
    <n v="30"/>
    <x v="4"/>
    <x v="10"/>
    <x v="3"/>
    <x v="5"/>
    <x v="2"/>
    <x v="3"/>
    <x v="5"/>
    <x v="6"/>
    <x v="6"/>
    <x v="2"/>
  </r>
  <r>
    <n v="33"/>
    <x v="1"/>
    <n v="31"/>
    <x v="4"/>
    <x v="9"/>
    <x v="4"/>
    <x v="4"/>
    <x v="3"/>
    <x v="3"/>
    <x v="6"/>
    <x v="7"/>
    <x v="7"/>
    <x v="0"/>
  </r>
  <r>
    <n v="34"/>
    <x v="0"/>
    <n v="31"/>
    <x v="1"/>
    <x v="0"/>
    <x v="0"/>
    <x v="2"/>
    <x v="1"/>
    <x v="1"/>
    <x v="1"/>
    <x v="8"/>
    <x v="8"/>
    <x v="0"/>
  </r>
  <r>
    <n v="35"/>
    <x v="0"/>
    <n v="31"/>
    <x v="1"/>
    <x v="8"/>
    <x v="2"/>
    <x v="4"/>
    <x v="0"/>
    <x v="1"/>
    <x v="3"/>
    <x v="4"/>
    <x v="4"/>
    <x v="0"/>
  </r>
  <r>
    <n v="36"/>
    <x v="0"/>
    <n v="31"/>
    <x v="1"/>
    <x v="0"/>
    <x v="0"/>
    <x v="2"/>
    <x v="1"/>
    <x v="1"/>
    <x v="1"/>
    <x v="8"/>
    <x v="8"/>
    <x v="0"/>
  </r>
  <r>
    <n v="37"/>
    <x v="0"/>
    <n v="31"/>
    <x v="1"/>
    <x v="0"/>
    <x v="0"/>
    <x v="2"/>
    <x v="1"/>
    <x v="1"/>
    <x v="1"/>
    <x v="8"/>
    <x v="8"/>
    <x v="0"/>
  </r>
  <r>
    <n v="38"/>
    <x v="0"/>
    <n v="31"/>
    <x v="1"/>
    <x v="7"/>
    <x v="2"/>
    <x v="4"/>
    <x v="0"/>
    <x v="1"/>
    <x v="3"/>
    <x v="4"/>
    <x v="4"/>
    <x v="0"/>
  </r>
  <r>
    <n v="39"/>
    <x v="0"/>
    <n v="31"/>
    <x v="1"/>
    <x v="7"/>
    <x v="2"/>
    <x v="4"/>
    <x v="0"/>
    <x v="1"/>
    <x v="3"/>
    <x v="4"/>
    <x v="4"/>
    <x v="0"/>
  </r>
  <r>
    <n v="40"/>
    <x v="0"/>
    <n v="31"/>
    <x v="1"/>
    <x v="7"/>
    <x v="2"/>
    <x v="4"/>
    <x v="0"/>
    <x v="1"/>
    <x v="3"/>
    <x v="4"/>
    <x v="4"/>
    <x v="0"/>
  </r>
  <r>
    <n v="41"/>
    <x v="0"/>
    <n v="31"/>
    <x v="1"/>
    <x v="8"/>
    <x v="2"/>
    <x v="4"/>
    <x v="0"/>
    <x v="1"/>
    <x v="3"/>
    <x v="4"/>
    <x v="4"/>
    <x v="0"/>
  </r>
  <r>
    <n v="42"/>
    <x v="0"/>
    <n v="31"/>
    <x v="1"/>
    <x v="8"/>
    <x v="2"/>
    <x v="4"/>
    <x v="0"/>
    <x v="1"/>
    <x v="3"/>
    <x v="4"/>
    <x v="4"/>
    <x v="0"/>
  </r>
  <r>
    <n v="43"/>
    <x v="0"/>
    <n v="31"/>
    <x v="1"/>
    <x v="8"/>
    <x v="2"/>
    <x v="4"/>
    <x v="0"/>
    <x v="1"/>
    <x v="3"/>
    <x v="4"/>
    <x v="4"/>
    <x v="0"/>
  </r>
  <r>
    <n v="44"/>
    <x v="0"/>
    <n v="31"/>
    <x v="1"/>
    <x v="4"/>
    <x v="2"/>
    <x v="4"/>
    <x v="0"/>
    <x v="1"/>
    <x v="3"/>
    <x v="4"/>
    <x v="4"/>
    <x v="0"/>
  </r>
  <r>
    <n v="45"/>
    <x v="0"/>
    <n v="31"/>
    <x v="1"/>
    <x v="8"/>
    <x v="2"/>
    <x v="4"/>
    <x v="0"/>
    <x v="1"/>
    <x v="3"/>
    <x v="4"/>
    <x v="4"/>
    <x v="0"/>
  </r>
  <r>
    <n v="46"/>
    <x v="0"/>
    <n v="31"/>
    <x v="1"/>
    <x v="4"/>
    <x v="2"/>
    <x v="4"/>
    <x v="0"/>
    <x v="1"/>
    <x v="3"/>
    <x v="4"/>
    <x v="4"/>
    <x v="0"/>
  </r>
  <r>
    <n v="47"/>
    <x v="0"/>
    <n v="31"/>
    <x v="1"/>
    <x v="8"/>
    <x v="2"/>
    <x v="4"/>
    <x v="0"/>
    <x v="1"/>
    <x v="3"/>
    <x v="4"/>
    <x v="4"/>
    <x v="0"/>
  </r>
  <r>
    <n v="48"/>
    <x v="0"/>
    <n v="31"/>
    <x v="1"/>
    <x v="4"/>
    <x v="2"/>
    <x v="4"/>
    <x v="0"/>
    <x v="1"/>
    <x v="3"/>
    <x v="4"/>
    <x v="4"/>
    <x v="0"/>
  </r>
  <r>
    <n v="49"/>
    <x v="0"/>
    <n v="31"/>
    <x v="1"/>
    <x v="8"/>
    <x v="2"/>
    <x v="4"/>
    <x v="0"/>
    <x v="1"/>
    <x v="3"/>
    <x v="4"/>
    <x v="4"/>
    <x v="0"/>
  </r>
  <r>
    <n v="50"/>
    <x v="0"/>
    <n v="31"/>
    <x v="1"/>
    <x v="8"/>
    <x v="2"/>
    <x v="4"/>
    <x v="0"/>
    <x v="1"/>
    <x v="3"/>
    <x v="4"/>
    <x v="4"/>
    <x v="1"/>
  </r>
  <r>
    <n v="51"/>
    <x v="0"/>
    <n v="32"/>
    <x v="5"/>
    <x v="11"/>
    <x v="4"/>
    <x v="6"/>
    <x v="4"/>
    <x v="1"/>
    <x v="3"/>
    <x v="4"/>
    <x v="4"/>
    <x v="0"/>
  </r>
  <r>
    <n v="52"/>
    <x v="0"/>
    <n v="32"/>
    <x v="5"/>
    <x v="11"/>
    <x v="4"/>
    <x v="6"/>
    <x v="4"/>
    <x v="1"/>
    <x v="3"/>
    <x v="4"/>
    <x v="4"/>
    <x v="0"/>
  </r>
  <r>
    <n v="53"/>
    <x v="0"/>
    <n v="32"/>
    <x v="1"/>
    <x v="5"/>
    <x v="0"/>
    <x v="2"/>
    <x v="1"/>
    <x v="1"/>
    <x v="1"/>
    <x v="8"/>
    <x v="8"/>
    <x v="0"/>
  </r>
  <r>
    <n v="54"/>
    <x v="0"/>
    <n v="32"/>
    <x v="1"/>
    <x v="7"/>
    <x v="2"/>
    <x v="4"/>
    <x v="0"/>
    <x v="1"/>
    <x v="3"/>
    <x v="4"/>
    <x v="4"/>
    <x v="0"/>
  </r>
  <r>
    <n v="55"/>
    <x v="0"/>
    <n v="32"/>
    <x v="1"/>
    <x v="5"/>
    <x v="0"/>
    <x v="2"/>
    <x v="1"/>
    <x v="1"/>
    <x v="1"/>
    <x v="8"/>
    <x v="8"/>
    <x v="0"/>
  </r>
  <r>
    <n v="56"/>
    <x v="0"/>
    <n v="32"/>
    <x v="1"/>
    <x v="5"/>
    <x v="0"/>
    <x v="2"/>
    <x v="1"/>
    <x v="1"/>
    <x v="1"/>
    <x v="8"/>
    <x v="8"/>
    <x v="0"/>
  </r>
  <r>
    <n v="57"/>
    <x v="0"/>
    <n v="32"/>
    <x v="1"/>
    <x v="8"/>
    <x v="2"/>
    <x v="4"/>
    <x v="0"/>
    <x v="1"/>
    <x v="3"/>
    <x v="4"/>
    <x v="4"/>
    <x v="0"/>
  </r>
  <r>
    <n v="58"/>
    <x v="0"/>
    <n v="32"/>
    <x v="1"/>
    <x v="5"/>
    <x v="0"/>
    <x v="2"/>
    <x v="1"/>
    <x v="1"/>
    <x v="1"/>
    <x v="8"/>
    <x v="8"/>
    <x v="0"/>
  </r>
  <r>
    <n v="59"/>
    <x v="0"/>
    <n v="32"/>
    <x v="1"/>
    <x v="5"/>
    <x v="0"/>
    <x v="2"/>
    <x v="1"/>
    <x v="1"/>
    <x v="1"/>
    <x v="8"/>
    <x v="8"/>
    <x v="0"/>
  </r>
  <r>
    <n v="60"/>
    <x v="0"/>
    <n v="32"/>
    <x v="1"/>
    <x v="8"/>
    <x v="2"/>
    <x v="4"/>
    <x v="0"/>
    <x v="1"/>
    <x v="3"/>
    <x v="4"/>
    <x v="4"/>
    <x v="0"/>
  </r>
  <r>
    <n v="61"/>
    <x v="0"/>
    <n v="32"/>
    <x v="1"/>
    <x v="5"/>
    <x v="0"/>
    <x v="2"/>
    <x v="1"/>
    <x v="1"/>
    <x v="1"/>
    <x v="8"/>
    <x v="8"/>
    <x v="0"/>
  </r>
  <r>
    <n v="62"/>
    <x v="0"/>
    <n v="32"/>
    <x v="1"/>
    <x v="5"/>
    <x v="0"/>
    <x v="2"/>
    <x v="1"/>
    <x v="1"/>
    <x v="1"/>
    <x v="8"/>
    <x v="8"/>
    <x v="0"/>
  </r>
  <r>
    <n v="63"/>
    <x v="0"/>
    <n v="32"/>
    <x v="1"/>
    <x v="1"/>
    <x v="0"/>
    <x v="2"/>
    <x v="1"/>
    <x v="1"/>
    <x v="1"/>
    <x v="8"/>
    <x v="8"/>
    <x v="0"/>
  </r>
  <r>
    <n v="64"/>
    <x v="0"/>
    <n v="32"/>
    <x v="1"/>
    <x v="1"/>
    <x v="0"/>
    <x v="2"/>
    <x v="1"/>
    <x v="1"/>
    <x v="1"/>
    <x v="8"/>
    <x v="8"/>
    <x v="0"/>
  </r>
  <r>
    <n v="65"/>
    <x v="0"/>
    <n v="32"/>
    <x v="1"/>
    <x v="1"/>
    <x v="0"/>
    <x v="2"/>
    <x v="1"/>
    <x v="1"/>
    <x v="1"/>
    <x v="8"/>
    <x v="8"/>
    <x v="0"/>
  </r>
  <r>
    <n v="66"/>
    <x v="0"/>
    <n v="32"/>
    <x v="1"/>
    <x v="1"/>
    <x v="0"/>
    <x v="2"/>
    <x v="1"/>
    <x v="1"/>
    <x v="1"/>
    <x v="8"/>
    <x v="8"/>
    <x v="0"/>
  </r>
  <r>
    <n v="67"/>
    <x v="0"/>
    <n v="32"/>
    <x v="6"/>
    <x v="12"/>
    <x v="4"/>
    <x v="7"/>
    <x v="0"/>
    <x v="3"/>
    <x v="7"/>
    <x v="9"/>
    <x v="9"/>
    <x v="0"/>
  </r>
  <r>
    <n v="68"/>
    <x v="0"/>
    <n v="33"/>
    <x v="1"/>
    <x v="5"/>
    <x v="0"/>
    <x v="2"/>
    <x v="1"/>
    <x v="1"/>
    <x v="1"/>
    <x v="8"/>
    <x v="8"/>
    <x v="2"/>
  </r>
  <r>
    <n v="69"/>
    <x v="1"/>
    <n v="33"/>
    <x v="7"/>
    <x v="1"/>
    <x v="0"/>
    <x v="7"/>
    <x v="0"/>
    <x v="0"/>
    <x v="8"/>
    <x v="10"/>
    <x v="10"/>
    <x v="0"/>
  </r>
  <r>
    <n v="70"/>
    <x v="1"/>
    <n v="33"/>
    <x v="7"/>
    <x v="1"/>
    <x v="0"/>
    <x v="7"/>
    <x v="0"/>
    <x v="0"/>
    <x v="8"/>
    <x v="10"/>
    <x v="10"/>
    <x v="0"/>
  </r>
  <r>
    <n v="71"/>
    <x v="0"/>
    <n v="33"/>
    <x v="1"/>
    <x v="0"/>
    <x v="0"/>
    <x v="2"/>
    <x v="1"/>
    <x v="1"/>
    <x v="1"/>
    <x v="8"/>
    <x v="8"/>
    <x v="0"/>
  </r>
  <r>
    <n v="72"/>
    <x v="0"/>
    <n v="33"/>
    <x v="1"/>
    <x v="0"/>
    <x v="0"/>
    <x v="2"/>
    <x v="1"/>
    <x v="1"/>
    <x v="1"/>
    <x v="8"/>
    <x v="8"/>
    <x v="0"/>
  </r>
  <r>
    <n v="73"/>
    <x v="0"/>
    <n v="33"/>
    <x v="1"/>
    <x v="0"/>
    <x v="0"/>
    <x v="2"/>
    <x v="1"/>
    <x v="1"/>
    <x v="1"/>
    <x v="8"/>
    <x v="8"/>
    <x v="0"/>
  </r>
  <r>
    <n v="74"/>
    <x v="0"/>
    <n v="33"/>
    <x v="1"/>
    <x v="0"/>
    <x v="0"/>
    <x v="2"/>
    <x v="1"/>
    <x v="1"/>
    <x v="1"/>
    <x v="8"/>
    <x v="8"/>
    <x v="0"/>
  </r>
  <r>
    <n v="75"/>
    <x v="0"/>
    <n v="33"/>
    <x v="1"/>
    <x v="5"/>
    <x v="0"/>
    <x v="2"/>
    <x v="1"/>
    <x v="1"/>
    <x v="1"/>
    <x v="8"/>
    <x v="8"/>
    <x v="0"/>
  </r>
  <r>
    <n v="76"/>
    <x v="0"/>
    <n v="33"/>
    <x v="1"/>
    <x v="5"/>
    <x v="0"/>
    <x v="2"/>
    <x v="1"/>
    <x v="1"/>
    <x v="1"/>
    <x v="8"/>
    <x v="8"/>
    <x v="0"/>
  </r>
  <r>
    <n v="77"/>
    <x v="0"/>
    <n v="33"/>
    <x v="1"/>
    <x v="5"/>
    <x v="0"/>
    <x v="2"/>
    <x v="1"/>
    <x v="1"/>
    <x v="1"/>
    <x v="8"/>
    <x v="8"/>
    <x v="0"/>
  </r>
  <r>
    <n v="78"/>
    <x v="0"/>
    <n v="33"/>
    <x v="1"/>
    <x v="5"/>
    <x v="0"/>
    <x v="2"/>
    <x v="1"/>
    <x v="1"/>
    <x v="1"/>
    <x v="8"/>
    <x v="8"/>
    <x v="0"/>
  </r>
  <r>
    <n v="79"/>
    <x v="0"/>
    <n v="33"/>
    <x v="1"/>
    <x v="5"/>
    <x v="0"/>
    <x v="2"/>
    <x v="1"/>
    <x v="1"/>
    <x v="1"/>
    <x v="8"/>
    <x v="8"/>
    <x v="0"/>
  </r>
  <r>
    <n v="80"/>
    <x v="0"/>
    <n v="33"/>
    <x v="1"/>
    <x v="5"/>
    <x v="0"/>
    <x v="2"/>
    <x v="1"/>
    <x v="1"/>
    <x v="1"/>
    <x v="8"/>
    <x v="8"/>
    <x v="0"/>
  </r>
  <r>
    <n v="81"/>
    <x v="1"/>
    <n v="34"/>
    <x v="7"/>
    <x v="13"/>
    <x v="1"/>
    <x v="8"/>
    <x v="1"/>
    <x v="0"/>
    <x v="9"/>
    <x v="11"/>
    <x v="11"/>
    <x v="1"/>
  </r>
  <r>
    <n v="82"/>
    <x v="1"/>
    <n v="34"/>
    <x v="7"/>
    <x v="13"/>
    <x v="1"/>
    <x v="8"/>
    <x v="1"/>
    <x v="0"/>
    <x v="9"/>
    <x v="11"/>
    <x v="11"/>
    <x v="1"/>
  </r>
  <r>
    <n v="83"/>
    <x v="0"/>
    <n v="35"/>
    <x v="3"/>
    <x v="14"/>
    <x v="2"/>
    <x v="3"/>
    <x v="5"/>
    <x v="0"/>
    <x v="10"/>
    <x v="4"/>
    <x v="12"/>
    <x v="0"/>
  </r>
  <r>
    <n v="84"/>
    <x v="0"/>
    <n v="35"/>
    <x v="3"/>
    <x v="14"/>
    <x v="2"/>
    <x v="3"/>
    <x v="5"/>
    <x v="0"/>
    <x v="10"/>
    <x v="4"/>
    <x v="12"/>
    <x v="0"/>
  </r>
  <r>
    <n v="85"/>
    <x v="0"/>
    <n v="35"/>
    <x v="0"/>
    <x v="11"/>
    <x v="4"/>
    <x v="1"/>
    <x v="5"/>
    <x v="3"/>
    <x v="3"/>
    <x v="4"/>
    <x v="4"/>
    <x v="0"/>
  </r>
  <r>
    <n v="86"/>
    <x v="1"/>
    <n v="35"/>
    <x v="6"/>
    <x v="12"/>
    <x v="4"/>
    <x v="1"/>
    <x v="3"/>
    <x v="1"/>
    <x v="11"/>
    <x v="9"/>
    <x v="9"/>
    <x v="0"/>
  </r>
  <r>
    <n v="87"/>
    <x v="0"/>
    <n v="35"/>
    <x v="5"/>
    <x v="12"/>
    <x v="4"/>
    <x v="1"/>
    <x v="3"/>
    <x v="1"/>
    <x v="1"/>
    <x v="12"/>
    <x v="8"/>
    <x v="0"/>
  </r>
  <r>
    <n v="88"/>
    <x v="0"/>
    <n v="35"/>
    <x v="5"/>
    <x v="12"/>
    <x v="4"/>
    <x v="1"/>
    <x v="3"/>
    <x v="1"/>
    <x v="1"/>
    <x v="12"/>
    <x v="8"/>
    <x v="0"/>
  </r>
  <r>
    <n v="89"/>
    <x v="0"/>
    <n v="35"/>
    <x v="5"/>
    <x v="15"/>
    <x v="4"/>
    <x v="1"/>
    <x v="3"/>
    <x v="1"/>
    <x v="1"/>
    <x v="12"/>
    <x v="8"/>
    <x v="0"/>
  </r>
  <r>
    <n v="90"/>
    <x v="0"/>
    <n v="35"/>
    <x v="5"/>
    <x v="15"/>
    <x v="4"/>
    <x v="1"/>
    <x v="3"/>
    <x v="1"/>
    <x v="1"/>
    <x v="12"/>
    <x v="8"/>
    <x v="0"/>
  </r>
  <r>
    <n v="91"/>
    <x v="0"/>
    <n v="35"/>
    <x v="5"/>
    <x v="15"/>
    <x v="4"/>
    <x v="1"/>
    <x v="3"/>
    <x v="1"/>
    <x v="1"/>
    <x v="12"/>
    <x v="8"/>
    <x v="0"/>
  </r>
  <r>
    <n v="92"/>
    <x v="0"/>
    <n v="35"/>
    <x v="5"/>
    <x v="15"/>
    <x v="4"/>
    <x v="1"/>
    <x v="3"/>
    <x v="1"/>
    <x v="1"/>
    <x v="12"/>
    <x v="8"/>
    <x v="0"/>
  </r>
  <r>
    <n v="93"/>
    <x v="0"/>
    <n v="35"/>
    <x v="0"/>
    <x v="11"/>
    <x v="4"/>
    <x v="1"/>
    <x v="5"/>
    <x v="3"/>
    <x v="3"/>
    <x v="4"/>
    <x v="4"/>
    <x v="0"/>
  </r>
  <r>
    <n v="94"/>
    <x v="0"/>
    <n v="35"/>
    <x v="8"/>
    <x v="16"/>
    <x v="2"/>
    <x v="1"/>
    <x v="5"/>
    <x v="2"/>
    <x v="12"/>
    <x v="13"/>
    <x v="13"/>
    <x v="1"/>
  </r>
  <r>
    <n v="95"/>
    <x v="1"/>
    <n v="36"/>
    <x v="6"/>
    <x v="12"/>
    <x v="4"/>
    <x v="1"/>
    <x v="3"/>
    <x v="1"/>
    <x v="11"/>
    <x v="9"/>
    <x v="9"/>
    <x v="2"/>
  </r>
  <r>
    <n v="96"/>
    <x v="1"/>
    <n v="36"/>
    <x v="6"/>
    <x v="17"/>
    <x v="4"/>
    <x v="1"/>
    <x v="3"/>
    <x v="1"/>
    <x v="11"/>
    <x v="9"/>
    <x v="9"/>
    <x v="0"/>
  </r>
  <r>
    <n v="97"/>
    <x v="1"/>
    <n v="36"/>
    <x v="6"/>
    <x v="12"/>
    <x v="4"/>
    <x v="1"/>
    <x v="3"/>
    <x v="1"/>
    <x v="11"/>
    <x v="9"/>
    <x v="9"/>
    <x v="0"/>
  </r>
  <r>
    <n v="98"/>
    <x v="1"/>
    <n v="36"/>
    <x v="6"/>
    <x v="17"/>
    <x v="4"/>
    <x v="1"/>
    <x v="3"/>
    <x v="1"/>
    <x v="11"/>
    <x v="9"/>
    <x v="9"/>
    <x v="0"/>
  </r>
  <r>
    <n v="99"/>
    <x v="1"/>
    <n v="36"/>
    <x v="3"/>
    <x v="17"/>
    <x v="4"/>
    <x v="1"/>
    <x v="3"/>
    <x v="1"/>
    <x v="11"/>
    <x v="9"/>
    <x v="9"/>
    <x v="0"/>
  </r>
  <r>
    <n v="100"/>
    <x v="1"/>
    <n v="36"/>
    <x v="3"/>
    <x v="17"/>
    <x v="4"/>
    <x v="1"/>
    <x v="3"/>
    <x v="1"/>
    <x v="11"/>
    <x v="9"/>
    <x v="9"/>
    <x v="0"/>
  </r>
  <r>
    <n v="101"/>
    <x v="1"/>
    <n v="36"/>
    <x v="3"/>
    <x v="12"/>
    <x v="4"/>
    <x v="1"/>
    <x v="3"/>
    <x v="1"/>
    <x v="11"/>
    <x v="9"/>
    <x v="9"/>
    <x v="0"/>
  </r>
  <r>
    <n v="102"/>
    <x v="1"/>
    <n v="36"/>
    <x v="3"/>
    <x v="12"/>
    <x v="4"/>
    <x v="1"/>
    <x v="3"/>
    <x v="1"/>
    <x v="11"/>
    <x v="9"/>
    <x v="9"/>
    <x v="0"/>
  </r>
  <r>
    <n v="103"/>
    <x v="1"/>
    <n v="36"/>
    <x v="3"/>
    <x v="12"/>
    <x v="4"/>
    <x v="1"/>
    <x v="3"/>
    <x v="1"/>
    <x v="11"/>
    <x v="9"/>
    <x v="9"/>
    <x v="0"/>
  </r>
  <r>
    <n v="104"/>
    <x v="0"/>
    <n v="36"/>
    <x v="3"/>
    <x v="18"/>
    <x v="3"/>
    <x v="5"/>
    <x v="2"/>
    <x v="0"/>
    <x v="13"/>
    <x v="14"/>
    <x v="14"/>
    <x v="1"/>
  </r>
  <r>
    <n v="105"/>
    <x v="1"/>
    <n v="36"/>
    <x v="3"/>
    <x v="12"/>
    <x v="4"/>
    <x v="1"/>
    <x v="3"/>
    <x v="1"/>
    <x v="11"/>
    <x v="9"/>
    <x v="9"/>
    <x v="1"/>
  </r>
  <r>
    <n v="106"/>
    <x v="0"/>
    <n v="36"/>
    <x v="3"/>
    <x v="18"/>
    <x v="3"/>
    <x v="5"/>
    <x v="2"/>
    <x v="0"/>
    <x v="13"/>
    <x v="14"/>
    <x v="14"/>
    <x v="2"/>
  </r>
  <r>
    <n v="107"/>
    <x v="1"/>
    <n v="37"/>
    <x v="4"/>
    <x v="0"/>
    <x v="0"/>
    <x v="0"/>
    <x v="0"/>
    <x v="0"/>
    <x v="0"/>
    <x v="0"/>
    <x v="0"/>
    <x v="0"/>
  </r>
  <r>
    <n v="108"/>
    <x v="0"/>
    <n v="37"/>
    <x v="5"/>
    <x v="4"/>
    <x v="4"/>
    <x v="9"/>
    <x v="3"/>
    <x v="3"/>
    <x v="3"/>
    <x v="9"/>
    <x v="9"/>
    <x v="0"/>
  </r>
  <r>
    <n v="109"/>
    <x v="0"/>
    <n v="37"/>
    <x v="5"/>
    <x v="4"/>
    <x v="4"/>
    <x v="9"/>
    <x v="3"/>
    <x v="3"/>
    <x v="3"/>
    <x v="9"/>
    <x v="9"/>
    <x v="0"/>
  </r>
  <r>
    <n v="110"/>
    <x v="0"/>
    <n v="37"/>
    <x v="8"/>
    <x v="16"/>
    <x v="4"/>
    <x v="1"/>
    <x v="5"/>
    <x v="1"/>
    <x v="14"/>
    <x v="9"/>
    <x v="4"/>
    <x v="0"/>
  </r>
  <r>
    <n v="111"/>
    <x v="1"/>
    <n v="37"/>
    <x v="6"/>
    <x v="12"/>
    <x v="4"/>
    <x v="1"/>
    <x v="3"/>
    <x v="1"/>
    <x v="11"/>
    <x v="9"/>
    <x v="9"/>
    <x v="0"/>
  </r>
  <r>
    <n v="112"/>
    <x v="0"/>
    <n v="37"/>
    <x v="8"/>
    <x v="16"/>
    <x v="4"/>
    <x v="1"/>
    <x v="5"/>
    <x v="1"/>
    <x v="14"/>
    <x v="9"/>
    <x v="4"/>
    <x v="0"/>
  </r>
  <r>
    <n v="113"/>
    <x v="1"/>
    <n v="37"/>
    <x v="6"/>
    <x v="12"/>
    <x v="4"/>
    <x v="1"/>
    <x v="3"/>
    <x v="1"/>
    <x v="11"/>
    <x v="9"/>
    <x v="9"/>
    <x v="0"/>
  </r>
  <r>
    <n v="114"/>
    <x v="0"/>
    <n v="37"/>
    <x v="8"/>
    <x v="16"/>
    <x v="4"/>
    <x v="1"/>
    <x v="5"/>
    <x v="1"/>
    <x v="14"/>
    <x v="9"/>
    <x v="4"/>
    <x v="0"/>
  </r>
  <r>
    <n v="115"/>
    <x v="1"/>
    <n v="37"/>
    <x v="6"/>
    <x v="12"/>
    <x v="4"/>
    <x v="1"/>
    <x v="3"/>
    <x v="1"/>
    <x v="11"/>
    <x v="9"/>
    <x v="9"/>
    <x v="0"/>
  </r>
  <r>
    <n v="116"/>
    <x v="1"/>
    <n v="37"/>
    <x v="6"/>
    <x v="12"/>
    <x v="4"/>
    <x v="1"/>
    <x v="3"/>
    <x v="1"/>
    <x v="11"/>
    <x v="9"/>
    <x v="9"/>
    <x v="0"/>
  </r>
  <r>
    <n v="117"/>
    <x v="1"/>
    <n v="37"/>
    <x v="6"/>
    <x v="12"/>
    <x v="4"/>
    <x v="1"/>
    <x v="3"/>
    <x v="1"/>
    <x v="11"/>
    <x v="9"/>
    <x v="9"/>
    <x v="0"/>
  </r>
  <r>
    <n v="118"/>
    <x v="1"/>
    <n v="37"/>
    <x v="6"/>
    <x v="12"/>
    <x v="4"/>
    <x v="1"/>
    <x v="3"/>
    <x v="1"/>
    <x v="11"/>
    <x v="9"/>
    <x v="9"/>
    <x v="0"/>
  </r>
  <r>
    <n v="119"/>
    <x v="1"/>
    <n v="37"/>
    <x v="6"/>
    <x v="12"/>
    <x v="4"/>
    <x v="1"/>
    <x v="3"/>
    <x v="1"/>
    <x v="11"/>
    <x v="9"/>
    <x v="9"/>
    <x v="0"/>
  </r>
  <r>
    <n v="120"/>
    <x v="1"/>
    <n v="37"/>
    <x v="6"/>
    <x v="12"/>
    <x v="4"/>
    <x v="1"/>
    <x v="3"/>
    <x v="1"/>
    <x v="11"/>
    <x v="9"/>
    <x v="9"/>
    <x v="0"/>
  </r>
  <r>
    <n v="121"/>
    <x v="1"/>
    <n v="37"/>
    <x v="6"/>
    <x v="12"/>
    <x v="4"/>
    <x v="1"/>
    <x v="3"/>
    <x v="1"/>
    <x v="11"/>
    <x v="9"/>
    <x v="9"/>
    <x v="0"/>
  </r>
  <r>
    <n v="122"/>
    <x v="1"/>
    <n v="37"/>
    <x v="6"/>
    <x v="12"/>
    <x v="4"/>
    <x v="1"/>
    <x v="3"/>
    <x v="1"/>
    <x v="11"/>
    <x v="9"/>
    <x v="9"/>
    <x v="0"/>
  </r>
  <r>
    <n v="123"/>
    <x v="1"/>
    <n v="37"/>
    <x v="6"/>
    <x v="12"/>
    <x v="4"/>
    <x v="1"/>
    <x v="3"/>
    <x v="1"/>
    <x v="11"/>
    <x v="9"/>
    <x v="9"/>
    <x v="0"/>
  </r>
  <r>
    <n v="124"/>
    <x v="1"/>
    <n v="37"/>
    <x v="6"/>
    <x v="12"/>
    <x v="4"/>
    <x v="1"/>
    <x v="3"/>
    <x v="1"/>
    <x v="11"/>
    <x v="9"/>
    <x v="9"/>
    <x v="0"/>
  </r>
  <r>
    <n v="125"/>
    <x v="1"/>
    <n v="37"/>
    <x v="6"/>
    <x v="12"/>
    <x v="4"/>
    <x v="1"/>
    <x v="3"/>
    <x v="1"/>
    <x v="11"/>
    <x v="9"/>
    <x v="9"/>
    <x v="0"/>
  </r>
  <r>
    <n v="126"/>
    <x v="1"/>
    <n v="37"/>
    <x v="4"/>
    <x v="11"/>
    <x v="4"/>
    <x v="1"/>
    <x v="3"/>
    <x v="3"/>
    <x v="3"/>
    <x v="4"/>
    <x v="4"/>
    <x v="0"/>
  </r>
  <r>
    <n v="127"/>
    <x v="0"/>
    <n v="38"/>
    <x v="8"/>
    <x v="15"/>
    <x v="4"/>
    <x v="1"/>
    <x v="5"/>
    <x v="1"/>
    <x v="14"/>
    <x v="9"/>
    <x v="4"/>
    <x v="0"/>
  </r>
  <r>
    <n v="128"/>
    <x v="1"/>
    <n v="38"/>
    <x v="6"/>
    <x v="17"/>
    <x v="4"/>
    <x v="1"/>
    <x v="3"/>
    <x v="1"/>
    <x v="11"/>
    <x v="9"/>
    <x v="9"/>
    <x v="0"/>
  </r>
  <r>
    <n v="129"/>
    <x v="0"/>
    <n v="38"/>
    <x v="8"/>
    <x v="15"/>
    <x v="4"/>
    <x v="1"/>
    <x v="5"/>
    <x v="1"/>
    <x v="14"/>
    <x v="9"/>
    <x v="4"/>
    <x v="0"/>
  </r>
  <r>
    <n v="130"/>
    <x v="0"/>
    <n v="38"/>
    <x v="8"/>
    <x v="15"/>
    <x v="4"/>
    <x v="1"/>
    <x v="5"/>
    <x v="1"/>
    <x v="14"/>
    <x v="9"/>
    <x v="4"/>
    <x v="0"/>
  </r>
  <r>
    <n v="131"/>
    <x v="1"/>
    <n v="38"/>
    <x v="6"/>
    <x v="17"/>
    <x v="4"/>
    <x v="1"/>
    <x v="3"/>
    <x v="1"/>
    <x v="11"/>
    <x v="9"/>
    <x v="9"/>
    <x v="0"/>
  </r>
  <r>
    <n v="132"/>
    <x v="0"/>
    <n v="38"/>
    <x v="8"/>
    <x v="15"/>
    <x v="4"/>
    <x v="1"/>
    <x v="5"/>
    <x v="1"/>
    <x v="14"/>
    <x v="9"/>
    <x v="4"/>
    <x v="0"/>
  </r>
  <r>
    <n v="133"/>
    <x v="0"/>
    <n v="38"/>
    <x v="8"/>
    <x v="15"/>
    <x v="4"/>
    <x v="1"/>
    <x v="5"/>
    <x v="1"/>
    <x v="14"/>
    <x v="9"/>
    <x v="4"/>
    <x v="0"/>
  </r>
  <r>
    <n v="134"/>
    <x v="1"/>
    <n v="38"/>
    <x v="6"/>
    <x v="17"/>
    <x v="4"/>
    <x v="1"/>
    <x v="3"/>
    <x v="1"/>
    <x v="11"/>
    <x v="9"/>
    <x v="9"/>
    <x v="0"/>
  </r>
  <r>
    <n v="135"/>
    <x v="0"/>
    <n v="38"/>
    <x v="8"/>
    <x v="15"/>
    <x v="4"/>
    <x v="1"/>
    <x v="5"/>
    <x v="1"/>
    <x v="14"/>
    <x v="9"/>
    <x v="4"/>
    <x v="0"/>
  </r>
  <r>
    <n v="136"/>
    <x v="0"/>
    <n v="38"/>
    <x v="8"/>
    <x v="15"/>
    <x v="4"/>
    <x v="1"/>
    <x v="5"/>
    <x v="1"/>
    <x v="14"/>
    <x v="9"/>
    <x v="4"/>
    <x v="0"/>
  </r>
  <r>
    <n v="137"/>
    <x v="1"/>
    <n v="38"/>
    <x v="6"/>
    <x v="17"/>
    <x v="4"/>
    <x v="1"/>
    <x v="3"/>
    <x v="1"/>
    <x v="11"/>
    <x v="9"/>
    <x v="9"/>
    <x v="0"/>
  </r>
  <r>
    <n v="138"/>
    <x v="0"/>
    <n v="38"/>
    <x v="8"/>
    <x v="17"/>
    <x v="4"/>
    <x v="1"/>
    <x v="5"/>
    <x v="1"/>
    <x v="14"/>
    <x v="9"/>
    <x v="4"/>
    <x v="0"/>
  </r>
  <r>
    <n v="139"/>
    <x v="1"/>
    <n v="38"/>
    <x v="6"/>
    <x v="17"/>
    <x v="4"/>
    <x v="1"/>
    <x v="3"/>
    <x v="1"/>
    <x v="11"/>
    <x v="9"/>
    <x v="9"/>
    <x v="0"/>
  </r>
  <r>
    <n v="140"/>
    <x v="0"/>
    <n v="38"/>
    <x v="8"/>
    <x v="17"/>
    <x v="4"/>
    <x v="1"/>
    <x v="5"/>
    <x v="1"/>
    <x v="14"/>
    <x v="9"/>
    <x v="4"/>
    <x v="0"/>
  </r>
  <r>
    <n v="141"/>
    <x v="1"/>
    <n v="38"/>
    <x v="6"/>
    <x v="17"/>
    <x v="4"/>
    <x v="1"/>
    <x v="3"/>
    <x v="1"/>
    <x v="11"/>
    <x v="9"/>
    <x v="9"/>
    <x v="0"/>
  </r>
  <r>
    <n v="142"/>
    <x v="0"/>
    <n v="38"/>
    <x v="8"/>
    <x v="17"/>
    <x v="4"/>
    <x v="1"/>
    <x v="5"/>
    <x v="1"/>
    <x v="14"/>
    <x v="9"/>
    <x v="4"/>
    <x v="0"/>
  </r>
  <r>
    <n v="143"/>
    <x v="1"/>
    <n v="38"/>
    <x v="6"/>
    <x v="17"/>
    <x v="4"/>
    <x v="1"/>
    <x v="3"/>
    <x v="1"/>
    <x v="11"/>
    <x v="9"/>
    <x v="9"/>
    <x v="0"/>
  </r>
  <r>
    <n v="144"/>
    <x v="1"/>
    <n v="38"/>
    <x v="6"/>
    <x v="17"/>
    <x v="4"/>
    <x v="1"/>
    <x v="3"/>
    <x v="1"/>
    <x v="11"/>
    <x v="9"/>
    <x v="9"/>
    <x v="0"/>
  </r>
  <r>
    <n v="145"/>
    <x v="0"/>
    <n v="38"/>
    <x v="8"/>
    <x v="17"/>
    <x v="4"/>
    <x v="1"/>
    <x v="5"/>
    <x v="1"/>
    <x v="14"/>
    <x v="9"/>
    <x v="4"/>
    <x v="1"/>
  </r>
  <r>
    <n v="146"/>
    <x v="1"/>
    <n v="38"/>
    <x v="8"/>
    <x v="16"/>
    <x v="2"/>
    <x v="1"/>
    <x v="5"/>
    <x v="2"/>
    <x v="12"/>
    <x v="13"/>
    <x v="13"/>
    <x v="1"/>
  </r>
  <r>
    <n v="147"/>
    <x v="0"/>
    <n v="39"/>
    <x v="8"/>
    <x v="12"/>
    <x v="4"/>
    <x v="1"/>
    <x v="5"/>
    <x v="1"/>
    <x v="14"/>
    <x v="9"/>
    <x v="4"/>
    <x v="2"/>
  </r>
  <r>
    <n v="148"/>
    <x v="0"/>
    <n v="39"/>
    <x v="5"/>
    <x v="6"/>
    <x v="3"/>
    <x v="3"/>
    <x v="2"/>
    <x v="0"/>
    <x v="4"/>
    <x v="5"/>
    <x v="5"/>
    <x v="2"/>
  </r>
  <r>
    <n v="149"/>
    <x v="1"/>
    <n v="39"/>
    <x v="8"/>
    <x v="19"/>
    <x v="2"/>
    <x v="7"/>
    <x v="0"/>
    <x v="3"/>
    <x v="8"/>
    <x v="1"/>
    <x v="10"/>
    <x v="0"/>
  </r>
  <r>
    <n v="150"/>
    <x v="1"/>
    <n v="39"/>
    <x v="6"/>
    <x v="20"/>
    <x v="5"/>
    <x v="10"/>
    <x v="4"/>
    <x v="3"/>
    <x v="15"/>
    <x v="15"/>
    <x v="15"/>
    <x v="0"/>
  </r>
  <r>
    <n v="151"/>
    <x v="1"/>
    <n v="39"/>
    <x v="6"/>
    <x v="20"/>
    <x v="5"/>
    <x v="10"/>
    <x v="4"/>
    <x v="3"/>
    <x v="15"/>
    <x v="15"/>
    <x v="15"/>
    <x v="0"/>
  </r>
  <r>
    <n v="152"/>
    <x v="0"/>
    <n v="39"/>
    <x v="8"/>
    <x v="12"/>
    <x v="4"/>
    <x v="1"/>
    <x v="5"/>
    <x v="1"/>
    <x v="14"/>
    <x v="9"/>
    <x v="4"/>
    <x v="0"/>
  </r>
  <r>
    <n v="153"/>
    <x v="0"/>
    <n v="39"/>
    <x v="8"/>
    <x v="12"/>
    <x v="4"/>
    <x v="1"/>
    <x v="5"/>
    <x v="1"/>
    <x v="14"/>
    <x v="9"/>
    <x v="4"/>
    <x v="0"/>
  </r>
  <r>
    <n v="154"/>
    <x v="0"/>
    <n v="39"/>
    <x v="8"/>
    <x v="12"/>
    <x v="4"/>
    <x v="1"/>
    <x v="5"/>
    <x v="1"/>
    <x v="14"/>
    <x v="9"/>
    <x v="4"/>
    <x v="0"/>
  </r>
  <r>
    <n v="155"/>
    <x v="0"/>
    <n v="39"/>
    <x v="8"/>
    <x v="12"/>
    <x v="4"/>
    <x v="1"/>
    <x v="5"/>
    <x v="1"/>
    <x v="14"/>
    <x v="9"/>
    <x v="4"/>
    <x v="0"/>
  </r>
  <r>
    <n v="156"/>
    <x v="0"/>
    <n v="39"/>
    <x v="8"/>
    <x v="12"/>
    <x v="4"/>
    <x v="1"/>
    <x v="5"/>
    <x v="1"/>
    <x v="14"/>
    <x v="9"/>
    <x v="4"/>
    <x v="0"/>
  </r>
  <r>
    <n v="157"/>
    <x v="0"/>
    <n v="39"/>
    <x v="8"/>
    <x v="12"/>
    <x v="4"/>
    <x v="1"/>
    <x v="5"/>
    <x v="1"/>
    <x v="14"/>
    <x v="9"/>
    <x v="4"/>
    <x v="0"/>
  </r>
  <r>
    <n v="158"/>
    <x v="0"/>
    <n v="39"/>
    <x v="8"/>
    <x v="12"/>
    <x v="4"/>
    <x v="1"/>
    <x v="5"/>
    <x v="1"/>
    <x v="14"/>
    <x v="9"/>
    <x v="4"/>
    <x v="0"/>
  </r>
  <r>
    <n v="159"/>
    <x v="0"/>
    <n v="39"/>
    <x v="8"/>
    <x v="12"/>
    <x v="4"/>
    <x v="1"/>
    <x v="5"/>
    <x v="1"/>
    <x v="14"/>
    <x v="9"/>
    <x v="4"/>
    <x v="0"/>
  </r>
  <r>
    <n v="160"/>
    <x v="0"/>
    <n v="39"/>
    <x v="8"/>
    <x v="12"/>
    <x v="4"/>
    <x v="1"/>
    <x v="5"/>
    <x v="1"/>
    <x v="14"/>
    <x v="9"/>
    <x v="4"/>
    <x v="0"/>
  </r>
  <r>
    <n v="161"/>
    <x v="0"/>
    <n v="39"/>
    <x v="8"/>
    <x v="12"/>
    <x v="4"/>
    <x v="1"/>
    <x v="5"/>
    <x v="1"/>
    <x v="14"/>
    <x v="9"/>
    <x v="4"/>
    <x v="0"/>
  </r>
  <r>
    <n v="162"/>
    <x v="1"/>
    <n v="40"/>
    <x v="6"/>
    <x v="12"/>
    <x v="4"/>
    <x v="11"/>
    <x v="0"/>
    <x v="3"/>
    <x v="16"/>
    <x v="16"/>
    <x v="16"/>
    <x v="0"/>
  </r>
  <r>
    <n v="163"/>
    <x v="1"/>
    <n v="40"/>
    <x v="6"/>
    <x v="12"/>
    <x v="4"/>
    <x v="11"/>
    <x v="0"/>
    <x v="3"/>
    <x v="16"/>
    <x v="16"/>
    <x v="16"/>
    <x v="0"/>
  </r>
  <r>
    <n v="164"/>
    <x v="0"/>
    <n v="40"/>
    <x v="8"/>
    <x v="9"/>
    <x v="4"/>
    <x v="12"/>
    <x v="5"/>
    <x v="1"/>
    <x v="14"/>
    <x v="9"/>
    <x v="4"/>
    <x v="0"/>
  </r>
  <r>
    <n v="165"/>
    <x v="0"/>
    <n v="40"/>
    <x v="8"/>
    <x v="9"/>
    <x v="4"/>
    <x v="12"/>
    <x v="5"/>
    <x v="1"/>
    <x v="14"/>
    <x v="9"/>
    <x v="4"/>
    <x v="0"/>
  </r>
  <r>
    <n v="166"/>
    <x v="0"/>
    <n v="41"/>
    <x v="8"/>
    <x v="7"/>
    <x v="4"/>
    <x v="12"/>
    <x v="5"/>
    <x v="1"/>
    <x v="14"/>
    <x v="4"/>
    <x v="4"/>
    <x v="2"/>
  </r>
  <r>
    <n v="167"/>
    <x v="0"/>
    <n v="41"/>
    <x v="5"/>
    <x v="15"/>
    <x v="4"/>
    <x v="9"/>
    <x v="0"/>
    <x v="3"/>
    <x v="17"/>
    <x v="8"/>
    <x v="17"/>
    <x v="0"/>
  </r>
  <r>
    <n v="168"/>
    <x v="0"/>
    <n v="41"/>
    <x v="8"/>
    <x v="17"/>
    <x v="2"/>
    <x v="11"/>
    <x v="0"/>
    <x v="0"/>
    <x v="18"/>
    <x v="8"/>
    <x v="18"/>
    <x v="0"/>
  </r>
  <r>
    <n v="169"/>
    <x v="0"/>
    <n v="41"/>
    <x v="8"/>
    <x v="17"/>
    <x v="2"/>
    <x v="11"/>
    <x v="0"/>
    <x v="0"/>
    <x v="18"/>
    <x v="8"/>
    <x v="18"/>
    <x v="0"/>
  </r>
  <r>
    <n v="170"/>
    <x v="0"/>
    <n v="41"/>
    <x v="8"/>
    <x v="8"/>
    <x v="4"/>
    <x v="12"/>
    <x v="5"/>
    <x v="1"/>
    <x v="14"/>
    <x v="4"/>
    <x v="4"/>
    <x v="0"/>
  </r>
  <r>
    <n v="171"/>
    <x v="0"/>
    <n v="41"/>
    <x v="8"/>
    <x v="8"/>
    <x v="4"/>
    <x v="12"/>
    <x v="5"/>
    <x v="1"/>
    <x v="14"/>
    <x v="4"/>
    <x v="4"/>
    <x v="0"/>
  </r>
  <r>
    <n v="172"/>
    <x v="0"/>
    <n v="41"/>
    <x v="8"/>
    <x v="8"/>
    <x v="4"/>
    <x v="12"/>
    <x v="5"/>
    <x v="1"/>
    <x v="14"/>
    <x v="4"/>
    <x v="4"/>
    <x v="0"/>
  </r>
  <r>
    <n v="173"/>
    <x v="0"/>
    <n v="41"/>
    <x v="8"/>
    <x v="8"/>
    <x v="4"/>
    <x v="12"/>
    <x v="5"/>
    <x v="1"/>
    <x v="14"/>
    <x v="4"/>
    <x v="4"/>
    <x v="0"/>
  </r>
  <r>
    <n v="174"/>
    <x v="0"/>
    <n v="41"/>
    <x v="8"/>
    <x v="8"/>
    <x v="4"/>
    <x v="12"/>
    <x v="5"/>
    <x v="1"/>
    <x v="14"/>
    <x v="4"/>
    <x v="4"/>
    <x v="0"/>
  </r>
  <r>
    <n v="175"/>
    <x v="0"/>
    <n v="41"/>
    <x v="8"/>
    <x v="7"/>
    <x v="4"/>
    <x v="12"/>
    <x v="5"/>
    <x v="1"/>
    <x v="14"/>
    <x v="4"/>
    <x v="4"/>
    <x v="0"/>
  </r>
  <r>
    <n v="176"/>
    <x v="0"/>
    <n v="41"/>
    <x v="8"/>
    <x v="7"/>
    <x v="4"/>
    <x v="12"/>
    <x v="5"/>
    <x v="1"/>
    <x v="14"/>
    <x v="4"/>
    <x v="4"/>
    <x v="0"/>
  </r>
  <r>
    <n v="177"/>
    <x v="0"/>
    <n v="41"/>
    <x v="8"/>
    <x v="7"/>
    <x v="4"/>
    <x v="12"/>
    <x v="5"/>
    <x v="1"/>
    <x v="14"/>
    <x v="4"/>
    <x v="4"/>
    <x v="0"/>
  </r>
  <r>
    <n v="178"/>
    <x v="0"/>
    <n v="42"/>
    <x v="9"/>
    <x v="6"/>
    <x v="0"/>
    <x v="6"/>
    <x v="2"/>
    <x v="0"/>
    <x v="14"/>
    <x v="8"/>
    <x v="18"/>
    <x v="2"/>
  </r>
  <r>
    <n v="179"/>
    <x v="0"/>
    <n v="42"/>
    <x v="8"/>
    <x v="4"/>
    <x v="4"/>
    <x v="12"/>
    <x v="5"/>
    <x v="1"/>
    <x v="14"/>
    <x v="4"/>
    <x v="4"/>
    <x v="0"/>
  </r>
  <r>
    <n v="180"/>
    <x v="0"/>
    <n v="42"/>
    <x v="8"/>
    <x v="4"/>
    <x v="4"/>
    <x v="12"/>
    <x v="5"/>
    <x v="1"/>
    <x v="14"/>
    <x v="4"/>
    <x v="4"/>
    <x v="0"/>
  </r>
  <r>
    <n v="181"/>
    <x v="0"/>
    <n v="42"/>
    <x v="8"/>
    <x v="4"/>
    <x v="4"/>
    <x v="12"/>
    <x v="5"/>
    <x v="1"/>
    <x v="14"/>
    <x v="4"/>
    <x v="4"/>
    <x v="0"/>
  </r>
  <r>
    <n v="182"/>
    <x v="0"/>
    <n v="42"/>
    <x v="8"/>
    <x v="4"/>
    <x v="4"/>
    <x v="12"/>
    <x v="5"/>
    <x v="1"/>
    <x v="14"/>
    <x v="4"/>
    <x v="4"/>
    <x v="0"/>
  </r>
  <r>
    <n v="183"/>
    <x v="0"/>
    <n v="42"/>
    <x v="8"/>
    <x v="4"/>
    <x v="4"/>
    <x v="12"/>
    <x v="5"/>
    <x v="1"/>
    <x v="14"/>
    <x v="4"/>
    <x v="4"/>
    <x v="0"/>
  </r>
  <r>
    <n v="184"/>
    <x v="0"/>
    <n v="42"/>
    <x v="8"/>
    <x v="4"/>
    <x v="4"/>
    <x v="12"/>
    <x v="5"/>
    <x v="1"/>
    <x v="14"/>
    <x v="4"/>
    <x v="4"/>
    <x v="0"/>
  </r>
  <r>
    <n v="185"/>
    <x v="1"/>
    <n v="42"/>
    <x v="3"/>
    <x v="21"/>
    <x v="0"/>
    <x v="6"/>
    <x v="2"/>
    <x v="0"/>
    <x v="14"/>
    <x v="6"/>
    <x v="8"/>
    <x v="1"/>
  </r>
  <r>
    <n v="186"/>
    <x v="1"/>
    <n v="42"/>
    <x v="3"/>
    <x v="21"/>
    <x v="0"/>
    <x v="6"/>
    <x v="2"/>
    <x v="0"/>
    <x v="14"/>
    <x v="6"/>
    <x v="8"/>
    <x v="1"/>
  </r>
  <r>
    <n v="187"/>
    <x v="1"/>
    <n v="43"/>
    <x v="3"/>
    <x v="14"/>
    <x v="2"/>
    <x v="6"/>
    <x v="3"/>
    <x v="0"/>
    <x v="19"/>
    <x v="12"/>
    <x v="18"/>
    <x v="2"/>
  </r>
  <r>
    <n v="188"/>
    <x v="0"/>
    <n v="43"/>
    <x v="9"/>
    <x v="3"/>
    <x v="0"/>
    <x v="6"/>
    <x v="2"/>
    <x v="0"/>
    <x v="14"/>
    <x v="8"/>
    <x v="18"/>
    <x v="2"/>
  </r>
  <r>
    <n v="189"/>
    <x v="1"/>
    <n v="43"/>
    <x v="3"/>
    <x v="14"/>
    <x v="2"/>
    <x v="6"/>
    <x v="3"/>
    <x v="0"/>
    <x v="19"/>
    <x v="12"/>
    <x v="18"/>
    <x v="2"/>
  </r>
  <r>
    <n v="190"/>
    <x v="0"/>
    <n v="43"/>
    <x v="9"/>
    <x v="6"/>
    <x v="0"/>
    <x v="6"/>
    <x v="2"/>
    <x v="0"/>
    <x v="14"/>
    <x v="8"/>
    <x v="18"/>
    <x v="2"/>
  </r>
  <r>
    <n v="191"/>
    <x v="1"/>
    <n v="43"/>
    <x v="3"/>
    <x v="14"/>
    <x v="2"/>
    <x v="6"/>
    <x v="3"/>
    <x v="0"/>
    <x v="19"/>
    <x v="12"/>
    <x v="18"/>
    <x v="2"/>
  </r>
  <r>
    <n v="192"/>
    <x v="0"/>
    <n v="43"/>
    <x v="9"/>
    <x v="10"/>
    <x v="0"/>
    <x v="6"/>
    <x v="2"/>
    <x v="0"/>
    <x v="14"/>
    <x v="8"/>
    <x v="18"/>
    <x v="2"/>
  </r>
  <r>
    <n v="193"/>
    <x v="0"/>
    <n v="43"/>
    <x v="9"/>
    <x v="6"/>
    <x v="0"/>
    <x v="6"/>
    <x v="2"/>
    <x v="0"/>
    <x v="14"/>
    <x v="8"/>
    <x v="18"/>
    <x v="2"/>
  </r>
  <r>
    <n v="194"/>
    <x v="0"/>
    <n v="43"/>
    <x v="9"/>
    <x v="6"/>
    <x v="0"/>
    <x v="6"/>
    <x v="2"/>
    <x v="0"/>
    <x v="14"/>
    <x v="8"/>
    <x v="18"/>
    <x v="2"/>
  </r>
  <r>
    <n v="195"/>
    <x v="0"/>
    <n v="43"/>
    <x v="9"/>
    <x v="6"/>
    <x v="0"/>
    <x v="6"/>
    <x v="2"/>
    <x v="0"/>
    <x v="14"/>
    <x v="8"/>
    <x v="18"/>
    <x v="2"/>
  </r>
  <r>
    <n v="196"/>
    <x v="0"/>
    <n v="43"/>
    <x v="9"/>
    <x v="6"/>
    <x v="0"/>
    <x v="6"/>
    <x v="2"/>
    <x v="0"/>
    <x v="14"/>
    <x v="8"/>
    <x v="18"/>
    <x v="2"/>
  </r>
  <r>
    <n v="197"/>
    <x v="0"/>
    <n v="43"/>
    <x v="9"/>
    <x v="6"/>
    <x v="0"/>
    <x v="6"/>
    <x v="2"/>
    <x v="0"/>
    <x v="14"/>
    <x v="8"/>
    <x v="18"/>
    <x v="2"/>
  </r>
  <r>
    <n v="198"/>
    <x v="0"/>
    <n v="43"/>
    <x v="9"/>
    <x v="6"/>
    <x v="0"/>
    <x v="6"/>
    <x v="2"/>
    <x v="0"/>
    <x v="14"/>
    <x v="8"/>
    <x v="18"/>
    <x v="2"/>
  </r>
  <r>
    <n v="199"/>
    <x v="0"/>
    <n v="43"/>
    <x v="9"/>
    <x v="6"/>
    <x v="0"/>
    <x v="6"/>
    <x v="2"/>
    <x v="0"/>
    <x v="14"/>
    <x v="8"/>
    <x v="18"/>
    <x v="2"/>
  </r>
  <r>
    <n v="200"/>
    <x v="0"/>
    <n v="43"/>
    <x v="9"/>
    <x v="6"/>
    <x v="0"/>
    <x v="6"/>
    <x v="2"/>
    <x v="0"/>
    <x v="14"/>
    <x v="8"/>
    <x v="18"/>
    <x v="2"/>
  </r>
  <r>
    <n v="201"/>
    <x v="0"/>
    <n v="43"/>
    <x v="9"/>
    <x v="6"/>
    <x v="0"/>
    <x v="6"/>
    <x v="2"/>
    <x v="0"/>
    <x v="14"/>
    <x v="8"/>
    <x v="18"/>
    <x v="2"/>
  </r>
  <r>
    <n v="202"/>
    <x v="0"/>
    <n v="43"/>
    <x v="5"/>
    <x v="4"/>
    <x v="4"/>
    <x v="12"/>
    <x v="5"/>
    <x v="1"/>
    <x v="14"/>
    <x v="4"/>
    <x v="4"/>
    <x v="2"/>
  </r>
  <r>
    <n v="203"/>
    <x v="0"/>
    <n v="43"/>
    <x v="5"/>
    <x v="4"/>
    <x v="4"/>
    <x v="12"/>
    <x v="5"/>
    <x v="1"/>
    <x v="14"/>
    <x v="4"/>
    <x v="4"/>
    <x v="2"/>
  </r>
  <r>
    <n v="204"/>
    <x v="0"/>
    <n v="43"/>
    <x v="5"/>
    <x v="19"/>
    <x v="0"/>
    <x v="13"/>
    <x v="2"/>
    <x v="3"/>
    <x v="6"/>
    <x v="7"/>
    <x v="7"/>
    <x v="0"/>
  </r>
  <r>
    <n v="205"/>
    <x v="0"/>
    <n v="43"/>
    <x v="5"/>
    <x v="7"/>
    <x v="4"/>
    <x v="4"/>
    <x v="3"/>
    <x v="0"/>
    <x v="20"/>
    <x v="9"/>
    <x v="7"/>
    <x v="0"/>
  </r>
  <r>
    <n v="206"/>
    <x v="0"/>
    <n v="43"/>
    <x v="5"/>
    <x v="8"/>
    <x v="4"/>
    <x v="12"/>
    <x v="5"/>
    <x v="1"/>
    <x v="14"/>
    <x v="4"/>
    <x v="4"/>
    <x v="0"/>
  </r>
  <r>
    <n v="207"/>
    <x v="0"/>
    <n v="43"/>
    <x v="5"/>
    <x v="8"/>
    <x v="4"/>
    <x v="12"/>
    <x v="5"/>
    <x v="1"/>
    <x v="14"/>
    <x v="4"/>
    <x v="4"/>
    <x v="0"/>
  </r>
  <r>
    <n v="208"/>
    <x v="0"/>
    <n v="43"/>
    <x v="5"/>
    <x v="8"/>
    <x v="4"/>
    <x v="12"/>
    <x v="5"/>
    <x v="1"/>
    <x v="14"/>
    <x v="4"/>
    <x v="4"/>
    <x v="0"/>
  </r>
  <r>
    <n v="209"/>
    <x v="0"/>
    <n v="43"/>
    <x v="5"/>
    <x v="8"/>
    <x v="4"/>
    <x v="12"/>
    <x v="5"/>
    <x v="1"/>
    <x v="14"/>
    <x v="4"/>
    <x v="4"/>
    <x v="0"/>
  </r>
  <r>
    <n v="210"/>
    <x v="0"/>
    <n v="43"/>
    <x v="5"/>
    <x v="4"/>
    <x v="4"/>
    <x v="12"/>
    <x v="5"/>
    <x v="1"/>
    <x v="14"/>
    <x v="4"/>
    <x v="4"/>
    <x v="0"/>
  </r>
  <r>
    <n v="211"/>
    <x v="0"/>
    <n v="43"/>
    <x v="5"/>
    <x v="8"/>
    <x v="4"/>
    <x v="12"/>
    <x v="5"/>
    <x v="1"/>
    <x v="14"/>
    <x v="4"/>
    <x v="4"/>
    <x v="0"/>
  </r>
  <r>
    <n v="212"/>
    <x v="0"/>
    <n v="43"/>
    <x v="5"/>
    <x v="4"/>
    <x v="4"/>
    <x v="12"/>
    <x v="5"/>
    <x v="1"/>
    <x v="14"/>
    <x v="4"/>
    <x v="4"/>
    <x v="0"/>
  </r>
  <r>
    <n v="213"/>
    <x v="0"/>
    <n v="43"/>
    <x v="5"/>
    <x v="4"/>
    <x v="4"/>
    <x v="12"/>
    <x v="5"/>
    <x v="1"/>
    <x v="14"/>
    <x v="4"/>
    <x v="4"/>
    <x v="0"/>
  </r>
  <r>
    <n v="214"/>
    <x v="0"/>
    <n v="43"/>
    <x v="5"/>
    <x v="4"/>
    <x v="4"/>
    <x v="12"/>
    <x v="5"/>
    <x v="1"/>
    <x v="14"/>
    <x v="4"/>
    <x v="4"/>
    <x v="0"/>
  </r>
  <r>
    <n v="215"/>
    <x v="0"/>
    <n v="43"/>
    <x v="5"/>
    <x v="4"/>
    <x v="4"/>
    <x v="12"/>
    <x v="5"/>
    <x v="1"/>
    <x v="14"/>
    <x v="4"/>
    <x v="4"/>
    <x v="0"/>
  </r>
  <r>
    <n v="216"/>
    <x v="0"/>
    <n v="43"/>
    <x v="5"/>
    <x v="4"/>
    <x v="4"/>
    <x v="12"/>
    <x v="5"/>
    <x v="1"/>
    <x v="14"/>
    <x v="4"/>
    <x v="4"/>
    <x v="0"/>
  </r>
  <r>
    <n v="217"/>
    <x v="0"/>
    <n v="43"/>
    <x v="5"/>
    <x v="4"/>
    <x v="4"/>
    <x v="12"/>
    <x v="5"/>
    <x v="1"/>
    <x v="14"/>
    <x v="4"/>
    <x v="4"/>
    <x v="0"/>
  </r>
  <r>
    <n v="218"/>
    <x v="0"/>
    <n v="43"/>
    <x v="5"/>
    <x v="4"/>
    <x v="4"/>
    <x v="12"/>
    <x v="5"/>
    <x v="1"/>
    <x v="14"/>
    <x v="4"/>
    <x v="4"/>
    <x v="0"/>
  </r>
  <r>
    <n v="219"/>
    <x v="0"/>
    <n v="43"/>
    <x v="5"/>
    <x v="4"/>
    <x v="4"/>
    <x v="12"/>
    <x v="5"/>
    <x v="1"/>
    <x v="14"/>
    <x v="4"/>
    <x v="4"/>
    <x v="1"/>
  </r>
  <r>
    <n v="220"/>
    <x v="0"/>
    <n v="43"/>
    <x v="9"/>
    <x v="6"/>
    <x v="0"/>
    <x v="6"/>
    <x v="2"/>
    <x v="0"/>
    <x v="14"/>
    <x v="8"/>
    <x v="18"/>
    <x v="1"/>
  </r>
  <r>
    <n v="221"/>
    <x v="1"/>
    <n v="44"/>
    <x v="3"/>
    <x v="18"/>
    <x v="2"/>
    <x v="6"/>
    <x v="3"/>
    <x v="0"/>
    <x v="19"/>
    <x v="12"/>
    <x v="18"/>
    <x v="2"/>
  </r>
  <r>
    <n v="222"/>
    <x v="0"/>
    <n v="44"/>
    <x v="9"/>
    <x v="10"/>
    <x v="0"/>
    <x v="6"/>
    <x v="2"/>
    <x v="0"/>
    <x v="14"/>
    <x v="8"/>
    <x v="18"/>
    <x v="2"/>
  </r>
  <r>
    <n v="223"/>
    <x v="0"/>
    <n v="44"/>
    <x v="9"/>
    <x v="3"/>
    <x v="0"/>
    <x v="6"/>
    <x v="2"/>
    <x v="0"/>
    <x v="14"/>
    <x v="8"/>
    <x v="18"/>
    <x v="2"/>
  </r>
  <r>
    <n v="224"/>
    <x v="0"/>
    <n v="44"/>
    <x v="9"/>
    <x v="10"/>
    <x v="0"/>
    <x v="6"/>
    <x v="2"/>
    <x v="0"/>
    <x v="14"/>
    <x v="8"/>
    <x v="18"/>
    <x v="2"/>
  </r>
  <r>
    <n v="225"/>
    <x v="1"/>
    <n v="44"/>
    <x v="3"/>
    <x v="18"/>
    <x v="2"/>
    <x v="6"/>
    <x v="3"/>
    <x v="0"/>
    <x v="19"/>
    <x v="12"/>
    <x v="18"/>
    <x v="2"/>
  </r>
  <r>
    <n v="226"/>
    <x v="0"/>
    <n v="44"/>
    <x v="9"/>
    <x v="3"/>
    <x v="0"/>
    <x v="6"/>
    <x v="2"/>
    <x v="0"/>
    <x v="14"/>
    <x v="8"/>
    <x v="18"/>
    <x v="2"/>
  </r>
  <r>
    <n v="227"/>
    <x v="1"/>
    <n v="44"/>
    <x v="3"/>
    <x v="18"/>
    <x v="2"/>
    <x v="6"/>
    <x v="3"/>
    <x v="0"/>
    <x v="19"/>
    <x v="12"/>
    <x v="18"/>
    <x v="2"/>
  </r>
  <r>
    <n v="228"/>
    <x v="0"/>
    <n v="44"/>
    <x v="9"/>
    <x v="3"/>
    <x v="0"/>
    <x v="6"/>
    <x v="2"/>
    <x v="0"/>
    <x v="14"/>
    <x v="8"/>
    <x v="18"/>
    <x v="2"/>
  </r>
  <r>
    <n v="229"/>
    <x v="1"/>
    <n v="44"/>
    <x v="3"/>
    <x v="18"/>
    <x v="2"/>
    <x v="6"/>
    <x v="3"/>
    <x v="0"/>
    <x v="19"/>
    <x v="12"/>
    <x v="18"/>
    <x v="2"/>
  </r>
  <r>
    <n v="230"/>
    <x v="0"/>
    <n v="44"/>
    <x v="9"/>
    <x v="3"/>
    <x v="0"/>
    <x v="6"/>
    <x v="2"/>
    <x v="0"/>
    <x v="14"/>
    <x v="8"/>
    <x v="18"/>
    <x v="2"/>
  </r>
  <r>
    <n v="231"/>
    <x v="1"/>
    <n v="44"/>
    <x v="3"/>
    <x v="18"/>
    <x v="2"/>
    <x v="6"/>
    <x v="3"/>
    <x v="0"/>
    <x v="19"/>
    <x v="12"/>
    <x v="18"/>
    <x v="2"/>
  </r>
  <r>
    <n v="232"/>
    <x v="0"/>
    <n v="44"/>
    <x v="9"/>
    <x v="3"/>
    <x v="0"/>
    <x v="6"/>
    <x v="2"/>
    <x v="0"/>
    <x v="14"/>
    <x v="8"/>
    <x v="18"/>
    <x v="2"/>
  </r>
  <r>
    <n v="233"/>
    <x v="1"/>
    <n v="44"/>
    <x v="3"/>
    <x v="18"/>
    <x v="2"/>
    <x v="6"/>
    <x v="3"/>
    <x v="0"/>
    <x v="19"/>
    <x v="12"/>
    <x v="18"/>
    <x v="2"/>
  </r>
  <r>
    <n v="234"/>
    <x v="0"/>
    <n v="44"/>
    <x v="9"/>
    <x v="3"/>
    <x v="0"/>
    <x v="6"/>
    <x v="2"/>
    <x v="0"/>
    <x v="14"/>
    <x v="8"/>
    <x v="18"/>
    <x v="2"/>
  </r>
  <r>
    <n v="235"/>
    <x v="1"/>
    <n v="44"/>
    <x v="3"/>
    <x v="18"/>
    <x v="2"/>
    <x v="6"/>
    <x v="3"/>
    <x v="0"/>
    <x v="19"/>
    <x v="12"/>
    <x v="18"/>
    <x v="2"/>
  </r>
  <r>
    <n v="236"/>
    <x v="0"/>
    <n v="44"/>
    <x v="9"/>
    <x v="3"/>
    <x v="0"/>
    <x v="6"/>
    <x v="2"/>
    <x v="0"/>
    <x v="14"/>
    <x v="8"/>
    <x v="18"/>
    <x v="2"/>
  </r>
  <r>
    <n v="237"/>
    <x v="0"/>
    <n v="44"/>
    <x v="9"/>
    <x v="10"/>
    <x v="0"/>
    <x v="6"/>
    <x v="2"/>
    <x v="0"/>
    <x v="14"/>
    <x v="8"/>
    <x v="18"/>
    <x v="2"/>
  </r>
  <r>
    <n v="238"/>
    <x v="1"/>
    <n v="44"/>
    <x v="3"/>
    <x v="6"/>
    <x v="2"/>
    <x v="6"/>
    <x v="3"/>
    <x v="0"/>
    <x v="19"/>
    <x v="12"/>
    <x v="18"/>
    <x v="2"/>
  </r>
  <r>
    <n v="239"/>
    <x v="0"/>
    <n v="44"/>
    <x v="9"/>
    <x v="3"/>
    <x v="0"/>
    <x v="6"/>
    <x v="2"/>
    <x v="0"/>
    <x v="14"/>
    <x v="8"/>
    <x v="18"/>
    <x v="2"/>
  </r>
  <r>
    <n v="240"/>
    <x v="0"/>
    <n v="44"/>
    <x v="9"/>
    <x v="10"/>
    <x v="0"/>
    <x v="6"/>
    <x v="2"/>
    <x v="0"/>
    <x v="14"/>
    <x v="8"/>
    <x v="18"/>
    <x v="2"/>
  </r>
  <r>
    <n v="241"/>
    <x v="1"/>
    <n v="44"/>
    <x v="3"/>
    <x v="6"/>
    <x v="2"/>
    <x v="6"/>
    <x v="3"/>
    <x v="0"/>
    <x v="19"/>
    <x v="12"/>
    <x v="18"/>
    <x v="2"/>
  </r>
  <r>
    <n v="242"/>
    <x v="0"/>
    <n v="44"/>
    <x v="9"/>
    <x v="3"/>
    <x v="0"/>
    <x v="6"/>
    <x v="2"/>
    <x v="0"/>
    <x v="14"/>
    <x v="8"/>
    <x v="18"/>
    <x v="2"/>
  </r>
  <r>
    <n v="243"/>
    <x v="0"/>
    <n v="44"/>
    <x v="9"/>
    <x v="10"/>
    <x v="0"/>
    <x v="6"/>
    <x v="2"/>
    <x v="0"/>
    <x v="14"/>
    <x v="8"/>
    <x v="18"/>
    <x v="2"/>
  </r>
  <r>
    <n v="244"/>
    <x v="1"/>
    <n v="44"/>
    <x v="3"/>
    <x v="6"/>
    <x v="2"/>
    <x v="6"/>
    <x v="3"/>
    <x v="0"/>
    <x v="19"/>
    <x v="12"/>
    <x v="18"/>
    <x v="2"/>
  </r>
  <r>
    <n v="245"/>
    <x v="0"/>
    <n v="44"/>
    <x v="9"/>
    <x v="3"/>
    <x v="0"/>
    <x v="6"/>
    <x v="2"/>
    <x v="0"/>
    <x v="14"/>
    <x v="8"/>
    <x v="18"/>
    <x v="2"/>
  </r>
  <r>
    <n v="246"/>
    <x v="1"/>
    <n v="44"/>
    <x v="3"/>
    <x v="6"/>
    <x v="2"/>
    <x v="6"/>
    <x v="3"/>
    <x v="0"/>
    <x v="19"/>
    <x v="12"/>
    <x v="18"/>
    <x v="2"/>
  </r>
  <r>
    <n v="247"/>
    <x v="0"/>
    <n v="44"/>
    <x v="9"/>
    <x v="3"/>
    <x v="0"/>
    <x v="6"/>
    <x v="2"/>
    <x v="0"/>
    <x v="14"/>
    <x v="8"/>
    <x v="18"/>
    <x v="2"/>
  </r>
  <r>
    <n v="248"/>
    <x v="0"/>
    <n v="44"/>
    <x v="5"/>
    <x v="21"/>
    <x v="2"/>
    <x v="6"/>
    <x v="2"/>
    <x v="0"/>
    <x v="14"/>
    <x v="6"/>
    <x v="8"/>
    <x v="2"/>
  </r>
  <r>
    <n v="249"/>
    <x v="0"/>
    <n v="44"/>
    <x v="9"/>
    <x v="10"/>
    <x v="0"/>
    <x v="6"/>
    <x v="2"/>
    <x v="0"/>
    <x v="14"/>
    <x v="8"/>
    <x v="18"/>
    <x v="0"/>
  </r>
  <r>
    <n v="250"/>
    <x v="0"/>
    <n v="44"/>
    <x v="9"/>
    <x v="6"/>
    <x v="0"/>
    <x v="6"/>
    <x v="2"/>
    <x v="0"/>
    <x v="14"/>
    <x v="8"/>
    <x v="18"/>
    <x v="0"/>
  </r>
  <r>
    <n v="251"/>
    <x v="1"/>
    <n v="45"/>
    <x v="3"/>
    <x v="21"/>
    <x v="2"/>
    <x v="2"/>
    <x v="0"/>
    <x v="0"/>
    <x v="19"/>
    <x v="12"/>
    <x v="18"/>
    <x v="2"/>
  </r>
  <r>
    <n v="252"/>
    <x v="1"/>
    <n v="45"/>
    <x v="3"/>
    <x v="21"/>
    <x v="2"/>
    <x v="2"/>
    <x v="0"/>
    <x v="0"/>
    <x v="19"/>
    <x v="12"/>
    <x v="18"/>
    <x v="2"/>
  </r>
  <r>
    <n v="253"/>
    <x v="1"/>
    <n v="45"/>
    <x v="3"/>
    <x v="6"/>
    <x v="2"/>
    <x v="6"/>
    <x v="3"/>
    <x v="0"/>
    <x v="19"/>
    <x v="12"/>
    <x v="18"/>
    <x v="2"/>
  </r>
  <r>
    <n v="254"/>
    <x v="1"/>
    <n v="45"/>
    <x v="3"/>
    <x v="6"/>
    <x v="2"/>
    <x v="6"/>
    <x v="3"/>
    <x v="0"/>
    <x v="19"/>
    <x v="12"/>
    <x v="18"/>
    <x v="2"/>
  </r>
  <r>
    <n v="255"/>
    <x v="1"/>
    <n v="45"/>
    <x v="3"/>
    <x v="6"/>
    <x v="2"/>
    <x v="6"/>
    <x v="3"/>
    <x v="0"/>
    <x v="19"/>
    <x v="12"/>
    <x v="18"/>
    <x v="2"/>
  </r>
  <r>
    <n v="256"/>
    <x v="1"/>
    <n v="45"/>
    <x v="3"/>
    <x v="6"/>
    <x v="2"/>
    <x v="6"/>
    <x v="3"/>
    <x v="0"/>
    <x v="19"/>
    <x v="12"/>
    <x v="18"/>
    <x v="2"/>
  </r>
  <r>
    <n v="257"/>
    <x v="1"/>
    <n v="45"/>
    <x v="3"/>
    <x v="18"/>
    <x v="2"/>
    <x v="6"/>
    <x v="3"/>
    <x v="0"/>
    <x v="19"/>
    <x v="12"/>
    <x v="18"/>
    <x v="2"/>
  </r>
  <r>
    <n v="258"/>
    <x v="1"/>
    <n v="45"/>
    <x v="3"/>
    <x v="18"/>
    <x v="2"/>
    <x v="6"/>
    <x v="3"/>
    <x v="0"/>
    <x v="19"/>
    <x v="12"/>
    <x v="18"/>
    <x v="2"/>
  </r>
  <r>
    <n v="259"/>
    <x v="1"/>
    <n v="45"/>
    <x v="3"/>
    <x v="18"/>
    <x v="2"/>
    <x v="6"/>
    <x v="3"/>
    <x v="0"/>
    <x v="19"/>
    <x v="12"/>
    <x v="18"/>
    <x v="2"/>
  </r>
  <r>
    <n v="260"/>
    <x v="1"/>
    <n v="45"/>
    <x v="3"/>
    <x v="18"/>
    <x v="2"/>
    <x v="6"/>
    <x v="3"/>
    <x v="0"/>
    <x v="19"/>
    <x v="12"/>
    <x v="18"/>
    <x v="2"/>
  </r>
  <r>
    <n v="261"/>
    <x v="1"/>
    <n v="45"/>
    <x v="3"/>
    <x v="18"/>
    <x v="2"/>
    <x v="6"/>
    <x v="3"/>
    <x v="0"/>
    <x v="19"/>
    <x v="12"/>
    <x v="18"/>
    <x v="2"/>
  </r>
  <r>
    <n v="262"/>
    <x v="1"/>
    <n v="45"/>
    <x v="3"/>
    <x v="18"/>
    <x v="2"/>
    <x v="6"/>
    <x v="3"/>
    <x v="0"/>
    <x v="19"/>
    <x v="12"/>
    <x v="18"/>
    <x v="0"/>
  </r>
  <r>
    <n v="263"/>
    <x v="1"/>
    <n v="45"/>
    <x v="3"/>
    <x v="18"/>
    <x v="2"/>
    <x v="6"/>
    <x v="3"/>
    <x v="0"/>
    <x v="19"/>
    <x v="12"/>
    <x v="18"/>
    <x v="0"/>
  </r>
  <r>
    <n v="264"/>
    <x v="1"/>
    <n v="45"/>
    <x v="10"/>
    <x v="19"/>
    <x v="2"/>
    <x v="11"/>
    <x v="5"/>
    <x v="0"/>
    <x v="18"/>
    <x v="1"/>
    <x v="10"/>
    <x v="0"/>
  </r>
  <r>
    <n v="265"/>
    <x v="0"/>
    <n v="48"/>
    <x v="1"/>
    <x v="15"/>
    <x v="2"/>
    <x v="14"/>
    <x v="5"/>
    <x v="2"/>
    <x v="21"/>
    <x v="17"/>
    <x v="3"/>
    <x v="2"/>
  </r>
  <r>
    <n v="266"/>
    <x v="1"/>
    <n v="48"/>
    <x v="4"/>
    <x v="2"/>
    <x v="0"/>
    <x v="12"/>
    <x v="1"/>
    <x v="0"/>
    <x v="22"/>
    <x v="1"/>
    <x v="1"/>
    <x v="1"/>
  </r>
  <r>
    <n v="267"/>
    <x v="0"/>
    <n v="48"/>
    <x v="1"/>
    <x v="15"/>
    <x v="2"/>
    <x v="14"/>
    <x v="5"/>
    <x v="2"/>
    <x v="21"/>
    <x v="17"/>
    <x v="3"/>
    <x v="2"/>
  </r>
  <r>
    <n v="268"/>
    <x v="1"/>
    <n v="49"/>
    <x v="4"/>
    <x v="1"/>
    <x v="0"/>
    <x v="12"/>
    <x v="1"/>
    <x v="0"/>
    <x v="22"/>
    <x v="1"/>
    <x v="1"/>
    <x v="0"/>
  </r>
  <r>
    <n v="269"/>
    <x v="1"/>
    <n v="49"/>
    <x v="4"/>
    <x v="5"/>
    <x v="0"/>
    <x v="12"/>
    <x v="1"/>
    <x v="0"/>
    <x v="22"/>
    <x v="1"/>
    <x v="1"/>
    <x v="1"/>
  </r>
  <r>
    <n v="270"/>
    <x v="1"/>
    <n v="49"/>
    <x v="4"/>
    <x v="0"/>
    <x v="0"/>
    <x v="12"/>
    <x v="1"/>
    <x v="0"/>
    <x v="22"/>
    <x v="1"/>
    <x v="1"/>
    <x v="1"/>
  </r>
  <r>
    <n v="271"/>
    <x v="1"/>
    <n v="49"/>
    <x v="4"/>
    <x v="0"/>
    <x v="0"/>
    <x v="12"/>
    <x v="1"/>
    <x v="0"/>
    <x v="22"/>
    <x v="1"/>
    <x v="1"/>
    <x v="1"/>
  </r>
  <r>
    <n v="272"/>
    <x v="1"/>
    <n v="49"/>
    <x v="4"/>
    <x v="0"/>
    <x v="0"/>
    <x v="12"/>
    <x v="1"/>
    <x v="0"/>
    <x v="22"/>
    <x v="1"/>
    <x v="1"/>
    <x v="1"/>
  </r>
  <r>
    <n v="273"/>
    <x v="1"/>
    <n v="49"/>
    <x v="4"/>
    <x v="0"/>
    <x v="0"/>
    <x v="12"/>
    <x v="1"/>
    <x v="0"/>
    <x v="22"/>
    <x v="1"/>
    <x v="1"/>
    <x v="1"/>
  </r>
  <r>
    <n v="274"/>
    <x v="1"/>
    <n v="49"/>
    <x v="4"/>
    <x v="1"/>
    <x v="0"/>
    <x v="12"/>
    <x v="1"/>
    <x v="0"/>
    <x v="22"/>
    <x v="1"/>
    <x v="1"/>
    <x v="1"/>
  </r>
  <r>
    <n v="275"/>
    <x v="1"/>
    <n v="49"/>
    <x v="4"/>
    <x v="1"/>
    <x v="0"/>
    <x v="12"/>
    <x v="1"/>
    <x v="0"/>
    <x v="22"/>
    <x v="1"/>
    <x v="1"/>
    <x v="1"/>
  </r>
  <r>
    <n v="276"/>
    <x v="1"/>
    <n v="49"/>
    <x v="4"/>
    <x v="1"/>
    <x v="0"/>
    <x v="12"/>
    <x v="1"/>
    <x v="0"/>
    <x v="22"/>
    <x v="1"/>
    <x v="1"/>
    <x v="1"/>
  </r>
  <r>
    <n v="277"/>
    <x v="0"/>
    <n v="49"/>
    <x v="1"/>
    <x v="22"/>
    <x v="5"/>
    <x v="15"/>
    <x v="4"/>
    <x v="2"/>
    <x v="23"/>
    <x v="18"/>
    <x v="19"/>
    <x v="1"/>
  </r>
  <r>
    <n v="278"/>
    <x v="0"/>
    <n v="49"/>
    <x v="1"/>
    <x v="22"/>
    <x v="5"/>
    <x v="15"/>
    <x v="4"/>
    <x v="2"/>
    <x v="23"/>
    <x v="18"/>
    <x v="19"/>
    <x v="1"/>
  </r>
  <r>
    <n v="279"/>
    <x v="1"/>
    <n v="50"/>
    <x v="4"/>
    <x v="0"/>
    <x v="0"/>
    <x v="12"/>
    <x v="1"/>
    <x v="0"/>
    <x v="22"/>
    <x v="1"/>
    <x v="1"/>
    <x v="2"/>
  </r>
  <r>
    <n v="280"/>
    <x v="1"/>
    <n v="50"/>
    <x v="5"/>
    <x v="23"/>
    <x v="5"/>
    <x v="2"/>
    <x v="4"/>
    <x v="1"/>
    <x v="1"/>
    <x v="12"/>
    <x v="8"/>
    <x v="0"/>
  </r>
  <r>
    <n v="281"/>
    <x v="1"/>
    <n v="50"/>
    <x v="4"/>
    <x v="5"/>
    <x v="0"/>
    <x v="12"/>
    <x v="1"/>
    <x v="0"/>
    <x v="22"/>
    <x v="1"/>
    <x v="1"/>
    <x v="0"/>
  </r>
  <r>
    <n v="282"/>
    <x v="1"/>
    <n v="50"/>
    <x v="4"/>
    <x v="0"/>
    <x v="0"/>
    <x v="12"/>
    <x v="1"/>
    <x v="0"/>
    <x v="22"/>
    <x v="1"/>
    <x v="1"/>
    <x v="1"/>
  </r>
  <r>
    <n v="283"/>
    <x v="1"/>
    <n v="50"/>
    <x v="4"/>
    <x v="5"/>
    <x v="0"/>
    <x v="12"/>
    <x v="1"/>
    <x v="0"/>
    <x v="22"/>
    <x v="1"/>
    <x v="1"/>
    <x v="1"/>
  </r>
  <r>
    <n v="284"/>
    <x v="1"/>
    <n v="50"/>
    <x v="4"/>
    <x v="5"/>
    <x v="0"/>
    <x v="12"/>
    <x v="1"/>
    <x v="0"/>
    <x v="22"/>
    <x v="1"/>
    <x v="1"/>
    <x v="1"/>
  </r>
  <r>
    <n v="285"/>
    <x v="1"/>
    <n v="50"/>
    <x v="4"/>
    <x v="5"/>
    <x v="0"/>
    <x v="12"/>
    <x v="1"/>
    <x v="0"/>
    <x v="22"/>
    <x v="1"/>
    <x v="1"/>
    <x v="1"/>
  </r>
  <r>
    <n v="286"/>
    <x v="1"/>
    <n v="50"/>
    <x v="4"/>
    <x v="5"/>
    <x v="0"/>
    <x v="12"/>
    <x v="1"/>
    <x v="0"/>
    <x v="22"/>
    <x v="1"/>
    <x v="1"/>
    <x v="1"/>
  </r>
  <r>
    <n v="287"/>
    <x v="1"/>
    <n v="50"/>
    <x v="4"/>
    <x v="5"/>
    <x v="0"/>
    <x v="12"/>
    <x v="1"/>
    <x v="0"/>
    <x v="22"/>
    <x v="1"/>
    <x v="1"/>
    <x v="1"/>
  </r>
  <r>
    <n v="288"/>
    <x v="1"/>
    <n v="50"/>
    <x v="4"/>
    <x v="5"/>
    <x v="0"/>
    <x v="12"/>
    <x v="1"/>
    <x v="0"/>
    <x v="22"/>
    <x v="1"/>
    <x v="1"/>
    <x v="1"/>
  </r>
  <r>
    <n v="289"/>
    <x v="1"/>
    <n v="50"/>
    <x v="4"/>
    <x v="5"/>
    <x v="0"/>
    <x v="12"/>
    <x v="1"/>
    <x v="0"/>
    <x v="22"/>
    <x v="1"/>
    <x v="1"/>
    <x v="1"/>
  </r>
  <r>
    <n v="290"/>
    <x v="1"/>
    <n v="50"/>
    <x v="4"/>
    <x v="0"/>
    <x v="0"/>
    <x v="12"/>
    <x v="1"/>
    <x v="0"/>
    <x v="22"/>
    <x v="1"/>
    <x v="1"/>
    <x v="1"/>
  </r>
  <r>
    <n v="291"/>
    <x v="1"/>
    <n v="50"/>
    <x v="4"/>
    <x v="5"/>
    <x v="0"/>
    <x v="12"/>
    <x v="1"/>
    <x v="0"/>
    <x v="22"/>
    <x v="1"/>
    <x v="1"/>
    <x v="1"/>
  </r>
  <r>
    <n v="292"/>
    <x v="1"/>
    <n v="50"/>
    <x v="4"/>
    <x v="0"/>
    <x v="0"/>
    <x v="12"/>
    <x v="1"/>
    <x v="0"/>
    <x v="22"/>
    <x v="1"/>
    <x v="1"/>
    <x v="1"/>
  </r>
  <r>
    <n v="293"/>
    <x v="1"/>
    <n v="50"/>
    <x v="4"/>
    <x v="0"/>
    <x v="0"/>
    <x v="12"/>
    <x v="1"/>
    <x v="0"/>
    <x v="22"/>
    <x v="1"/>
    <x v="1"/>
    <x v="1"/>
  </r>
  <r>
    <n v="294"/>
    <x v="1"/>
    <n v="50"/>
    <x v="4"/>
    <x v="5"/>
    <x v="0"/>
    <x v="12"/>
    <x v="1"/>
    <x v="0"/>
    <x v="22"/>
    <x v="1"/>
    <x v="1"/>
    <x v="1"/>
  </r>
  <r>
    <n v="295"/>
    <x v="1"/>
    <n v="50"/>
    <x v="4"/>
    <x v="0"/>
    <x v="0"/>
    <x v="12"/>
    <x v="1"/>
    <x v="0"/>
    <x v="22"/>
    <x v="1"/>
    <x v="1"/>
    <x v="1"/>
  </r>
  <r>
    <n v="296"/>
    <x v="1"/>
    <n v="50"/>
    <x v="4"/>
    <x v="5"/>
    <x v="0"/>
    <x v="12"/>
    <x v="1"/>
    <x v="0"/>
    <x v="22"/>
    <x v="1"/>
    <x v="1"/>
    <x v="1"/>
  </r>
  <r>
    <n v="297"/>
    <x v="1"/>
    <n v="50"/>
    <x v="4"/>
    <x v="0"/>
    <x v="0"/>
    <x v="12"/>
    <x v="1"/>
    <x v="0"/>
    <x v="22"/>
    <x v="1"/>
    <x v="1"/>
    <x v="1"/>
  </r>
  <r>
    <n v="298"/>
    <x v="1"/>
    <n v="50"/>
    <x v="4"/>
    <x v="0"/>
    <x v="0"/>
    <x v="12"/>
    <x v="1"/>
    <x v="0"/>
    <x v="22"/>
    <x v="1"/>
    <x v="1"/>
    <x v="1"/>
  </r>
  <r>
    <n v="299"/>
    <x v="1"/>
    <n v="51"/>
    <x v="5"/>
    <x v="24"/>
    <x v="5"/>
    <x v="2"/>
    <x v="4"/>
    <x v="1"/>
    <x v="1"/>
    <x v="12"/>
    <x v="8"/>
    <x v="0"/>
  </r>
  <r>
    <n v="300"/>
    <x v="1"/>
    <n v="51"/>
    <x v="5"/>
    <x v="24"/>
    <x v="5"/>
    <x v="2"/>
    <x v="4"/>
    <x v="1"/>
    <x v="1"/>
    <x v="12"/>
    <x v="8"/>
    <x v="0"/>
  </r>
  <r>
    <n v="301"/>
    <x v="1"/>
    <n v="51"/>
    <x v="5"/>
    <x v="24"/>
    <x v="5"/>
    <x v="2"/>
    <x v="4"/>
    <x v="1"/>
    <x v="1"/>
    <x v="12"/>
    <x v="8"/>
    <x v="0"/>
  </r>
  <r>
    <n v="302"/>
    <x v="1"/>
    <n v="51"/>
    <x v="5"/>
    <x v="24"/>
    <x v="5"/>
    <x v="2"/>
    <x v="4"/>
    <x v="1"/>
    <x v="1"/>
    <x v="12"/>
    <x v="8"/>
    <x v="0"/>
  </r>
  <r>
    <n v="303"/>
    <x v="1"/>
    <n v="51"/>
    <x v="4"/>
    <x v="17"/>
    <x v="2"/>
    <x v="11"/>
    <x v="0"/>
    <x v="3"/>
    <x v="18"/>
    <x v="8"/>
    <x v="18"/>
    <x v="0"/>
  </r>
  <r>
    <n v="304"/>
    <x v="1"/>
    <n v="51"/>
    <x v="4"/>
    <x v="5"/>
    <x v="0"/>
    <x v="12"/>
    <x v="1"/>
    <x v="0"/>
    <x v="22"/>
    <x v="1"/>
    <x v="1"/>
    <x v="1"/>
  </r>
  <r>
    <n v="305"/>
    <x v="1"/>
    <n v="51"/>
    <x v="4"/>
    <x v="0"/>
    <x v="0"/>
    <x v="12"/>
    <x v="1"/>
    <x v="0"/>
    <x v="22"/>
    <x v="1"/>
    <x v="1"/>
    <x v="1"/>
  </r>
  <r>
    <n v="306"/>
    <x v="1"/>
    <n v="51"/>
    <x v="4"/>
    <x v="0"/>
    <x v="0"/>
    <x v="12"/>
    <x v="1"/>
    <x v="0"/>
    <x v="22"/>
    <x v="1"/>
    <x v="1"/>
    <x v="1"/>
  </r>
  <r>
    <n v="307"/>
    <x v="1"/>
    <n v="52"/>
    <x v="6"/>
    <x v="6"/>
    <x v="2"/>
    <x v="6"/>
    <x v="2"/>
    <x v="0"/>
    <x v="14"/>
    <x v="8"/>
    <x v="18"/>
    <x v="2"/>
  </r>
  <r>
    <n v="308"/>
    <x v="1"/>
    <n v="52"/>
    <x v="6"/>
    <x v="6"/>
    <x v="2"/>
    <x v="6"/>
    <x v="2"/>
    <x v="0"/>
    <x v="14"/>
    <x v="8"/>
    <x v="18"/>
    <x v="2"/>
  </r>
  <r>
    <n v="309"/>
    <x v="1"/>
    <n v="52"/>
    <x v="6"/>
    <x v="18"/>
    <x v="2"/>
    <x v="6"/>
    <x v="2"/>
    <x v="0"/>
    <x v="14"/>
    <x v="8"/>
    <x v="18"/>
    <x v="2"/>
  </r>
  <r>
    <n v="310"/>
    <x v="1"/>
    <n v="52"/>
    <x v="6"/>
    <x v="18"/>
    <x v="2"/>
    <x v="6"/>
    <x v="2"/>
    <x v="0"/>
    <x v="14"/>
    <x v="8"/>
    <x v="18"/>
    <x v="2"/>
  </r>
  <r>
    <n v="311"/>
    <x v="1"/>
    <n v="52"/>
    <x v="6"/>
    <x v="18"/>
    <x v="2"/>
    <x v="6"/>
    <x v="2"/>
    <x v="0"/>
    <x v="14"/>
    <x v="8"/>
    <x v="18"/>
    <x v="2"/>
  </r>
  <r>
    <n v="312"/>
    <x v="1"/>
    <n v="52"/>
    <x v="6"/>
    <x v="18"/>
    <x v="2"/>
    <x v="6"/>
    <x v="2"/>
    <x v="0"/>
    <x v="14"/>
    <x v="8"/>
    <x v="18"/>
    <x v="2"/>
  </r>
  <r>
    <n v="313"/>
    <x v="1"/>
    <n v="52"/>
    <x v="5"/>
    <x v="25"/>
    <x v="5"/>
    <x v="2"/>
    <x v="4"/>
    <x v="1"/>
    <x v="1"/>
    <x v="12"/>
    <x v="8"/>
    <x v="0"/>
  </r>
  <r>
    <n v="314"/>
    <x v="1"/>
    <n v="52"/>
    <x v="5"/>
    <x v="25"/>
    <x v="5"/>
    <x v="2"/>
    <x v="4"/>
    <x v="1"/>
    <x v="1"/>
    <x v="12"/>
    <x v="8"/>
    <x v="0"/>
  </r>
  <r>
    <n v="315"/>
    <x v="1"/>
    <n v="52"/>
    <x v="5"/>
    <x v="25"/>
    <x v="5"/>
    <x v="2"/>
    <x v="4"/>
    <x v="1"/>
    <x v="1"/>
    <x v="12"/>
    <x v="8"/>
    <x v="0"/>
  </r>
  <r>
    <n v="316"/>
    <x v="1"/>
    <n v="53"/>
    <x v="5"/>
    <x v="23"/>
    <x v="5"/>
    <x v="2"/>
    <x v="4"/>
    <x v="1"/>
    <x v="1"/>
    <x v="12"/>
    <x v="8"/>
    <x v="2"/>
  </r>
  <r>
    <n v="317"/>
    <x v="1"/>
    <n v="53"/>
    <x v="5"/>
    <x v="24"/>
    <x v="5"/>
    <x v="2"/>
    <x v="4"/>
    <x v="1"/>
    <x v="1"/>
    <x v="12"/>
    <x v="8"/>
    <x v="0"/>
  </r>
  <r>
    <n v="318"/>
    <x v="1"/>
    <n v="53"/>
    <x v="5"/>
    <x v="24"/>
    <x v="5"/>
    <x v="2"/>
    <x v="4"/>
    <x v="1"/>
    <x v="1"/>
    <x v="12"/>
    <x v="8"/>
    <x v="0"/>
  </r>
  <r>
    <n v="319"/>
    <x v="1"/>
    <n v="53"/>
    <x v="5"/>
    <x v="25"/>
    <x v="5"/>
    <x v="2"/>
    <x v="4"/>
    <x v="1"/>
    <x v="1"/>
    <x v="12"/>
    <x v="8"/>
    <x v="0"/>
  </r>
  <r>
    <n v="320"/>
    <x v="1"/>
    <n v="53"/>
    <x v="5"/>
    <x v="25"/>
    <x v="5"/>
    <x v="2"/>
    <x v="4"/>
    <x v="1"/>
    <x v="1"/>
    <x v="12"/>
    <x v="8"/>
    <x v="0"/>
  </r>
  <r>
    <n v="321"/>
    <x v="1"/>
    <n v="53"/>
    <x v="5"/>
    <x v="24"/>
    <x v="5"/>
    <x v="2"/>
    <x v="4"/>
    <x v="1"/>
    <x v="1"/>
    <x v="12"/>
    <x v="8"/>
    <x v="0"/>
  </r>
  <r>
    <n v="322"/>
    <x v="1"/>
    <n v="53"/>
    <x v="5"/>
    <x v="25"/>
    <x v="5"/>
    <x v="2"/>
    <x v="4"/>
    <x v="1"/>
    <x v="1"/>
    <x v="12"/>
    <x v="8"/>
    <x v="0"/>
  </r>
  <r>
    <n v="323"/>
    <x v="1"/>
    <n v="53"/>
    <x v="5"/>
    <x v="25"/>
    <x v="5"/>
    <x v="2"/>
    <x v="4"/>
    <x v="1"/>
    <x v="1"/>
    <x v="12"/>
    <x v="8"/>
    <x v="0"/>
  </r>
  <r>
    <n v="324"/>
    <x v="1"/>
    <n v="53"/>
    <x v="5"/>
    <x v="24"/>
    <x v="5"/>
    <x v="2"/>
    <x v="4"/>
    <x v="1"/>
    <x v="1"/>
    <x v="12"/>
    <x v="8"/>
    <x v="0"/>
  </r>
  <r>
    <n v="325"/>
    <x v="1"/>
    <n v="53"/>
    <x v="5"/>
    <x v="23"/>
    <x v="5"/>
    <x v="2"/>
    <x v="4"/>
    <x v="1"/>
    <x v="1"/>
    <x v="12"/>
    <x v="8"/>
    <x v="0"/>
  </r>
  <r>
    <n v="326"/>
    <x v="1"/>
    <n v="53"/>
    <x v="5"/>
    <x v="24"/>
    <x v="5"/>
    <x v="2"/>
    <x v="4"/>
    <x v="1"/>
    <x v="1"/>
    <x v="12"/>
    <x v="8"/>
    <x v="0"/>
  </r>
  <r>
    <n v="327"/>
    <x v="1"/>
    <n v="53"/>
    <x v="5"/>
    <x v="23"/>
    <x v="5"/>
    <x v="2"/>
    <x v="4"/>
    <x v="1"/>
    <x v="1"/>
    <x v="12"/>
    <x v="8"/>
    <x v="0"/>
  </r>
  <r>
    <n v="328"/>
    <x v="1"/>
    <n v="53"/>
    <x v="5"/>
    <x v="24"/>
    <x v="5"/>
    <x v="2"/>
    <x v="4"/>
    <x v="1"/>
    <x v="1"/>
    <x v="12"/>
    <x v="8"/>
    <x v="0"/>
  </r>
  <r>
    <n v="329"/>
    <x v="1"/>
    <n v="53"/>
    <x v="5"/>
    <x v="23"/>
    <x v="5"/>
    <x v="2"/>
    <x v="4"/>
    <x v="1"/>
    <x v="1"/>
    <x v="12"/>
    <x v="8"/>
    <x v="0"/>
  </r>
  <r>
    <n v="330"/>
    <x v="1"/>
    <n v="53"/>
    <x v="5"/>
    <x v="24"/>
    <x v="5"/>
    <x v="2"/>
    <x v="4"/>
    <x v="1"/>
    <x v="1"/>
    <x v="12"/>
    <x v="8"/>
    <x v="0"/>
  </r>
  <r>
    <n v="331"/>
    <x v="1"/>
    <n v="53"/>
    <x v="5"/>
    <x v="24"/>
    <x v="5"/>
    <x v="2"/>
    <x v="4"/>
    <x v="1"/>
    <x v="1"/>
    <x v="12"/>
    <x v="8"/>
    <x v="0"/>
  </r>
  <r>
    <n v="332"/>
    <x v="1"/>
    <n v="53"/>
    <x v="5"/>
    <x v="25"/>
    <x v="5"/>
    <x v="2"/>
    <x v="4"/>
    <x v="1"/>
    <x v="1"/>
    <x v="12"/>
    <x v="8"/>
    <x v="0"/>
  </r>
  <r>
    <n v="333"/>
    <x v="1"/>
    <n v="54"/>
    <x v="5"/>
    <x v="25"/>
    <x v="5"/>
    <x v="2"/>
    <x v="4"/>
    <x v="1"/>
    <x v="1"/>
    <x v="12"/>
    <x v="8"/>
    <x v="0"/>
  </r>
  <r>
    <n v="334"/>
    <x v="1"/>
    <n v="54"/>
    <x v="5"/>
    <x v="25"/>
    <x v="5"/>
    <x v="2"/>
    <x v="4"/>
    <x v="1"/>
    <x v="1"/>
    <x v="12"/>
    <x v="8"/>
    <x v="0"/>
  </r>
  <r>
    <n v="335"/>
    <x v="1"/>
    <n v="54"/>
    <x v="5"/>
    <x v="25"/>
    <x v="5"/>
    <x v="2"/>
    <x v="4"/>
    <x v="1"/>
    <x v="1"/>
    <x v="12"/>
    <x v="8"/>
    <x v="0"/>
  </r>
  <r>
    <n v="336"/>
    <x v="1"/>
    <n v="54"/>
    <x v="5"/>
    <x v="25"/>
    <x v="5"/>
    <x v="2"/>
    <x v="4"/>
    <x v="1"/>
    <x v="1"/>
    <x v="12"/>
    <x v="8"/>
    <x v="0"/>
  </r>
  <r>
    <n v="337"/>
    <x v="1"/>
    <n v="54"/>
    <x v="5"/>
    <x v="25"/>
    <x v="5"/>
    <x v="2"/>
    <x v="4"/>
    <x v="1"/>
    <x v="1"/>
    <x v="12"/>
    <x v="8"/>
    <x v="0"/>
  </r>
  <r>
    <n v="338"/>
    <x v="1"/>
    <n v="54"/>
    <x v="5"/>
    <x v="25"/>
    <x v="5"/>
    <x v="2"/>
    <x v="4"/>
    <x v="1"/>
    <x v="1"/>
    <x v="12"/>
    <x v="8"/>
    <x v="0"/>
  </r>
  <r>
    <n v="339"/>
    <x v="1"/>
    <n v="54"/>
    <x v="5"/>
    <x v="24"/>
    <x v="5"/>
    <x v="2"/>
    <x v="4"/>
    <x v="1"/>
    <x v="1"/>
    <x v="12"/>
    <x v="8"/>
    <x v="0"/>
  </r>
  <r>
    <n v="340"/>
    <x v="1"/>
    <n v="55"/>
    <x v="4"/>
    <x v="22"/>
    <x v="5"/>
    <x v="4"/>
    <x v="3"/>
    <x v="0"/>
    <x v="22"/>
    <x v="8"/>
    <x v="8"/>
    <x v="1"/>
  </r>
  <r>
    <n v="341"/>
    <x v="1"/>
    <n v="55"/>
    <x v="4"/>
    <x v="22"/>
    <x v="5"/>
    <x v="4"/>
    <x v="3"/>
    <x v="0"/>
    <x v="22"/>
    <x v="8"/>
    <x v="8"/>
    <x v="1"/>
  </r>
  <r>
    <n v="342"/>
    <x v="1"/>
    <n v="56"/>
    <x v="1"/>
    <x v="26"/>
    <x v="5"/>
    <x v="12"/>
    <x v="4"/>
    <x v="3"/>
    <x v="24"/>
    <x v="12"/>
    <x v="1"/>
    <x v="0"/>
  </r>
  <r>
    <n v="343"/>
    <x v="1"/>
    <n v="56"/>
    <x v="1"/>
    <x v="26"/>
    <x v="5"/>
    <x v="12"/>
    <x v="4"/>
    <x v="3"/>
    <x v="24"/>
    <x v="12"/>
    <x v="1"/>
    <x v="0"/>
  </r>
  <r>
    <n v="344"/>
    <x v="1"/>
    <n v="57"/>
    <x v="4"/>
    <x v="22"/>
    <x v="5"/>
    <x v="4"/>
    <x v="4"/>
    <x v="0"/>
    <x v="22"/>
    <x v="9"/>
    <x v="9"/>
    <x v="0"/>
  </r>
  <r>
    <n v="345"/>
    <x v="1"/>
    <n v="57"/>
    <x v="4"/>
    <x v="26"/>
    <x v="5"/>
    <x v="4"/>
    <x v="4"/>
    <x v="0"/>
    <x v="22"/>
    <x v="9"/>
    <x v="9"/>
    <x v="1"/>
  </r>
  <r>
    <n v="346"/>
    <x v="1"/>
    <n v="57"/>
    <x v="4"/>
    <x v="26"/>
    <x v="5"/>
    <x v="4"/>
    <x v="4"/>
    <x v="0"/>
    <x v="22"/>
    <x v="9"/>
    <x v="9"/>
    <x v="1"/>
  </r>
  <r>
    <n v="347"/>
    <x v="1"/>
    <n v="57"/>
    <x v="4"/>
    <x v="26"/>
    <x v="5"/>
    <x v="4"/>
    <x v="4"/>
    <x v="0"/>
    <x v="22"/>
    <x v="9"/>
    <x v="9"/>
    <x v="1"/>
  </r>
  <r>
    <n v="348"/>
    <x v="1"/>
    <n v="57"/>
    <x v="4"/>
    <x v="26"/>
    <x v="5"/>
    <x v="4"/>
    <x v="4"/>
    <x v="0"/>
    <x v="22"/>
    <x v="9"/>
    <x v="9"/>
    <x v="1"/>
  </r>
  <r>
    <n v="349"/>
    <x v="1"/>
    <n v="57"/>
    <x v="4"/>
    <x v="26"/>
    <x v="5"/>
    <x v="4"/>
    <x v="4"/>
    <x v="0"/>
    <x v="22"/>
    <x v="9"/>
    <x v="9"/>
    <x v="1"/>
  </r>
  <r>
    <n v="350"/>
    <x v="1"/>
    <n v="57"/>
    <x v="4"/>
    <x v="22"/>
    <x v="5"/>
    <x v="4"/>
    <x v="4"/>
    <x v="0"/>
    <x v="22"/>
    <x v="9"/>
    <x v="9"/>
    <x v="1"/>
  </r>
  <r>
    <n v="351"/>
    <x v="1"/>
    <n v="57"/>
    <x v="4"/>
    <x v="22"/>
    <x v="5"/>
    <x v="4"/>
    <x v="4"/>
    <x v="0"/>
    <x v="22"/>
    <x v="9"/>
    <x v="9"/>
    <x v="1"/>
  </r>
  <r>
    <n v="352"/>
    <x v="1"/>
    <n v="57"/>
    <x v="4"/>
    <x v="22"/>
    <x v="5"/>
    <x v="4"/>
    <x v="4"/>
    <x v="0"/>
    <x v="22"/>
    <x v="9"/>
    <x v="9"/>
    <x v="1"/>
  </r>
  <r>
    <n v="353"/>
    <x v="1"/>
    <n v="58"/>
    <x v="4"/>
    <x v="20"/>
    <x v="5"/>
    <x v="4"/>
    <x v="4"/>
    <x v="0"/>
    <x v="22"/>
    <x v="9"/>
    <x v="9"/>
    <x v="1"/>
  </r>
  <r>
    <n v="354"/>
    <x v="1"/>
    <n v="58"/>
    <x v="4"/>
    <x v="20"/>
    <x v="5"/>
    <x v="4"/>
    <x v="4"/>
    <x v="0"/>
    <x v="22"/>
    <x v="9"/>
    <x v="9"/>
    <x v="1"/>
  </r>
  <r>
    <n v="355"/>
    <x v="1"/>
    <n v="58"/>
    <x v="4"/>
    <x v="20"/>
    <x v="5"/>
    <x v="4"/>
    <x v="4"/>
    <x v="0"/>
    <x v="22"/>
    <x v="9"/>
    <x v="9"/>
    <x v="1"/>
  </r>
  <r>
    <n v="356"/>
    <x v="1"/>
    <n v="58"/>
    <x v="4"/>
    <x v="20"/>
    <x v="5"/>
    <x v="4"/>
    <x v="4"/>
    <x v="0"/>
    <x v="22"/>
    <x v="9"/>
    <x v="9"/>
    <x v="1"/>
  </r>
  <r>
    <n v="357"/>
    <x v="1"/>
    <n v="58"/>
    <x v="4"/>
    <x v="20"/>
    <x v="5"/>
    <x v="4"/>
    <x v="4"/>
    <x v="0"/>
    <x v="22"/>
    <x v="9"/>
    <x v="9"/>
    <x v="1"/>
  </r>
  <r>
    <n v="358"/>
    <x v="1"/>
    <n v="58"/>
    <x v="4"/>
    <x v="20"/>
    <x v="5"/>
    <x v="4"/>
    <x v="4"/>
    <x v="0"/>
    <x v="22"/>
    <x v="9"/>
    <x v="9"/>
    <x v="1"/>
  </r>
  <r>
    <n v="359"/>
    <x v="1"/>
    <n v="59"/>
    <x v="4"/>
    <x v="20"/>
    <x v="5"/>
    <x v="4"/>
    <x v="4"/>
    <x v="0"/>
    <x v="22"/>
    <x v="9"/>
    <x v="9"/>
    <x v="0"/>
  </r>
  <r>
    <n v="360"/>
    <x v="1"/>
    <n v="59"/>
    <x v="4"/>
    <x v="22"/>
    <x v="5"/>
    <x v="4"/>
    <x v="4"/>
    <x v="0"/>
    <x v="22"/>
    <x v="9"/>
    <x v="9"/>
    <x v="0"/>
  </r>
  <r>
    <n v="361"/>
    <x v="1"/>
    <n v="59"/>
    <x v="4"/>
    <x v="26"/>
    <x v="5"/>
    <x v="4"/>
    <x v="4"/>
    <x v="0"/>
    <x v="22"/>
    <x v="9"/>
    <x v="9"/>
    <x v="1"/>
  </r>
  <r>
    <n v="362"/>
    <x v="1"/>
    <n v="59"/>
    <x v="4"/>
    <x v="26"/>
    <x v="5"/>
    <x v="4"/>
    <x v="4"/>
    <x v="0"/>
    <x v="22"/>
    <x v="9"/>
    <x v="9"/>
    <x v="1"/>
  </r>
  <r>
    <n v="363"/>
    <x v="1"/>
    <n v="59"/>
    <x v="4"/>
    <x v="26"/>
    <x v="5"/>
    <x v="4"/>
    <x v="4"/>
    <x v="0"/>
    <x v="22"/>
    <x v="9"/>
    <x v="9"/>
    <x v="1"/>
  </r>
  <r>
    <n v="364"/>
    <x v="1"/>
    <n v="59"/>
    <x v="4"/>
    <x v="26"/>
    <x v="5"/>
    <x v="4"/>
    <x v="4"/>
    <x v="0"/>
    <x v="22"/>
    <x v="9"/>
    <x v="9"/>
    <x v="1"/>
  </r>
  <r>
    <n v="365"/>
    <x v="1"/>
    <n v="59"/>
    <x v="4"/>
    <x v="20"/>
    <x v="5"/>
    <x v="4"/>
    <x v="4"/>
    <x v="0"/>
    <x v="22"/>
    <x v="9"/>
    <x v="9"/>
    <x v="1"/>
  </r>
  <r>
    <n v="366"/>
    <x v="1"/>
    <n v="59"/>
    <x v="4"/>
    <x v="20"/>
    <x v="5"/>
    <x v="4"/>
    <x v="4"/>
    <x v="0"/>
    <x v="22"/>
    <x v="9"/>
    <x v="9"/>
    <x v="1"/>
  </r>
  <r>
    <n v="367"/>
    <x v="1"/>
    <n v="59"/>
    <x v="4"/>
    <x v="22"/>
    <x v="5"/>
    <x v="4"/>
    <x v="4"/>
    <x v="0"/>
    <x v="22"/>
    <x v="9"/>
    <x v="9"/>
    <x v="1"/>
  </r>
  <r>
    <n v="368"/>
    <x v="1"/>
    <n v="59"/>
    <x v="4"/>
    <x v="20"/>
    <x v="5"/>
    <x v="4"/>
    <x v="4"/>
    <x v="0"/>
    <x v="22"/>
    <x v="9"/>
    <x v="9"/>
    <x v="1"/>
  </r>
  <r>
    <n v="369"/>
    <x v="1"/>
    <n v="59"/>
    <x v="4"/>
    <x v="22"/>
    <x v="5"/>
    <x v="4"/>
    <x v="4"/>
    <x v="0"/>
    <x v="22"/>
    <x v="9"/>
    <x v="9"/>
    <x v="1"/>
  </r>
  <r>
    <n v="370"/>
    <x v="1"/>
    <n v="59"/>
    <x v="4"/>
    <x v="22"/>
    <x v="5"/>
    <x v="4"/>
    <x v="4"/>
    <x v="0"/>
    <x v="22"/>
    <x v="9"/>
    <x v="9"/>
    <x v="1"/>
  </r>
  <r>
    <n v="371"/>
    <x v="1"/>
    <n v="59"/>
    <x v="4"/>
    <x v="20"/>
    <x v="5"/>
    <x v="4"/>
    <x v="4"/>
    <x v="0"/>
    <x v="22"/>
    <x v="9"/>
    <x v="9"/>
    <x v="1"/>
  </r>
  <r>
    <n v="372"/>
    <x v="1"/>
    <n v="59"/>
    <x v="4"/>
    <x v="22"/>
    <x v="5"/>
    <x v="4"/>
    <x v="4"/>
    <x v="0"/>
    <x v="22"/>
    <x v="9"/>
    <x v="9"/>
    <x v="1"/>
  </r>
  <r>
    <n v="373"/>
    <x v="1"/>
    <n v="59"/>
    <x v="4"/>
    <x v="22"/>
    <x v="5"/>
    <x v="4"/>
    <x v="4"/>
    <x v="0"/>
    <x v="22"/>
    <x v="9"/>
    <x v="9"/>
    <x v="1"/>
  </r>
  <r>
    <n v="374"/>
    <x v="1"/>
    <n v="59"/>
    <x v="4"/>
    <x v="22"/>
    <x v="5"/>
    <x v="4"/>
    <x v="4"/>
    <x v="0"/>
    <x v="22"/>
    <x v="9"/>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E23A8C-6847-4688-95E6-44B62F7C1D7B}"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25:M130" firstHeaderRow="1" firstDataRow="1" firstDataCol="1"/>
  <pivotFields count="13">
    <pivotField dataField="1"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Person ID" fld="0" subtotal="count" baseField="8" baseItem="0"/>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1"/>
          </reference>
        </references>
      </pivotArea>
    </chartFormat>
    <chartFormat chart="4" format="13">
      <pivotArea type="data" outline="0" fieldPosition="0">
        <references count="2">
          <reference field="4294967294" count="1" selected="0">
            <x v="0"/>
          </reference>
          <reference field="8" count="1" selected="0">
            <x v="2"/>
          </reference>
        </references>
      </pivotArea>
    </chartFormat>
    <chartFormat chart="4"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91A453-6DB9-4B0A-8EA3-A3B028AFBD71}"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03:M106" firstHeaderRow="1" firstDataRow="1" firstDataCol="1"/>
  <pivotFields count="13">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Quality of Sleep" fld="5" subtotal="average"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8CC17E-A9FA-4703-9A44-6D9BA7C73434}"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4:P95" firstHeaderRow="1" firstDataRow="1" firstDataCol="0"/>
  <pivotFields count="1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erson ID" fld="0" subtotal="count" baseField="0" baseItem="0"/>
  </dataFields>
  <formats count="6">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8792D1-600E-452F-A04C-CF7FA86669C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B60:C72" firstHeaderRow="1" firstDataRow="1" firstDataCol="1"/>
  <pivotFields count="13">
    <pivotField showAll="0"/>
    <pivotField showAll="0"/>
    <pivotField showAll="0"/>
    <pivotField axis="axisRow" showAll="0">
      <items count="12">
        <item x="6"/>
        <item x="1"/>
        <item x="5"/>
        <item x="8"/>
        <item x="10"/>
        <item x="4"/>
        <item x="2"/>
        <item x="9"/>
        <item x="7"/>
        <item x="0"/>
        <item x="3"/>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Average of Stress Level" fld="7" subtotal="average"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4A97A9-68BA-4A9C-849E-54684CC2DDE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M39:N51" firstHeaderRow="1" firstDataRow="1" firstDataCol="1"/>
  <pivotFields count="13">
    <pivotField showAll="0"/>
    <pivotField showAll="0"/>
    <pivotField showAll="0"/>
    <pivotField axis="axisRow" showAll="0" sortType="a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s>
  <rowFields count="1">
    <field x="3"/>
  </rowFields>
  <rowItems count="12">
    <i>
      <x v="6"/>
    </i>
    <i>
      <x v="8"/>
    </i>
    <i>
      <x v="7"/>
    </i>
    <i>
      <x v="10"/>
    </i>
    <i>
      <x v="9"/>
    </i>
    <i>
      <x v="4"/>
    </i>
    <i>
      <x v="1"/>
    </i>
    <i>
      <x v="5"/>
    </i>
    <i>
      <x/>
    </i>
    <i>
      <x v="3"/>
    </i>
    <i>
      <x v="2"/>
    </i>
    <i t="grand">
      <x/>
    </i>
  </rowItems>
  <colItems count="1">
    <i/>
  </colItems>
  <dataFields count="1">
    <dataField name="Average of Sleep Duration" fld="4"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085577-7B81-4F23-9D42-A84BF9DD31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L25:M29" firstHeaderRow="1" firstDataRow="1" firstDataCol="1"/>
  <pivotFields count="13">
    <pivotField dataField="1"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showAll="0"/>
    <pivotField showAll="0"/>
    <pivotField showAll="0">
      <items count="7">
        <item x="1"/>
        <item x="3"/>
        <item x="0"/>
        <item x="2"/>
        <item x="4"/>
        <item x="5"/>
        <item t="default"/>
      </items>
    </pivotField>
    <pivotField showAll="0"/>
    <pivotField showAll="0">
      <items count="7">
        <item x="4"/>
        <item x="3"/>
        <item x="5"/>
        <item x="0"/>
        <item x="2"/>
        <item x="1"/>
        <item t="default"/>
      </items>
    </pivotField>
    <pivotField showAll="0"/>
    <pivotField showAll="0">
      <items count="26">
        <item x="11"/>
        <item x="15"/>
        <item x="6"/>
        <item x="24"/>
        <item x="7"/>
        <item x="16"/>
        <item x="3"/>
        <item x="17"/>
        <item x="20"/>
        <item x="1"/>
        <item x="18"/>
        <item x="0"/>
        <item x="10"/>
        <item x="8"/>
        <item x="13"/>
        <item x="14"/>
        <item x="5"/>
        <item x="9"/>
        <item x="4"/>
        <item x="12"/>
        <item x="19"/>
        <item x="23"/>
        <item x="2"/>
        <item x="22"/>
        <item x="21"/>
        <item t="default"/>
      </items>
    </pivotField>
    <pivotField showAll="0"/>
    <pivotField showAll="0"/>
    <pivotField axis="axisRow" showAll="0">
      <items count="4">
        <item x="2"/>
        <item x="0"/>
        <item x="1"/>
        <item t="default"/>
      </items>
    </pivotField>
  </pivotFields>
  <rowFields count="1">
    <field x="12"/>
  </rowFields>
  <rowItems count="4">
    <i>
      <x/>
    </i>
    <i>
      <x v="1"/>
    </i>
    <i>
      <x v="2"/>
    </i>
    <i t="grand">
      <x/>
    </i>
  </rowItems>
  <colItems count="1">
    <i/>
  </colItems>
  <dataFields count="1">
    <dataField name="Count of Person ID" fld="0" subtotal="count" baseField="12" baseItem="0"/>
  </dataFields>
  <chartFormats count="16">
    <chartFormat chart="2" format="36" series="1">
      <pivotArea type="data" outline="0" fieldPosition="0">
        <references count="1">
          <reference field="12" count="1" selected="0">
            <x v="0"/>
          </reference>
        </references>
      </pivotArea>
    </chartFormat>
    <chartFormat chart="2" format="37" series="1">
      <pivotArea type="data" outline="0" fieldPosition="0">
        <references count="1">
          <reference field="12" count="1" selected="0">
            <x v="1"/>
          </reference>
        </references>
      </pivotArea>
    </chartFormat>
    <chartFormat chart="2" format="38" series="1">
      <pivotArea type="data" outline="0" fieldPosition="0">
        <references count="1">
          <reference field="12" count="1" selected="0">
            <x v="2"/>
          </reference>
        </references>
      </pivotArea>
    </chartFormat>
    <chartFormat chart="0" format="34" series="1">
      <pivotArea type="data" outline="0" fieldPosition="0">
        <references count="1">
          <reference field="12" count="1" selected="0">
            <x v="0"/>
          </reference>
        </references>
      </pivotArea>
    </chartFormat>
    <chartFormat chart="0" format="35" series="1">
      <pivotArea type="data" outline="0" fieldPosition="0">
        <references count="1">
          <reference field="12" count="1" selected="0">
            <x v="1"/>
          </reference>
        </references>
      </pivotArea>
    </chartFormat>
    <chartFormat chart="0" format="36" series="1">
      <pivotArea type="data" outline="0" fieldPosition="0">
        <references count="1">
          <reference field="12" count="1" selected="0">
            <x v="2"/>
          </reference>
        </references>
      </pivotArea>
    </chartFormat>
    <chartFormat chart="0" format="37" series="1">
      <pivotArea type="data" outline="0" fieldPosition="0">
        <references count="2">
          <reference field="4294967294" count="1" selected="0">
            <x v="0"/>
          </reference>
          <reference field="12" count="1" selected="0">
            <x v="0"/>
          </reference>
        </references>
      </pivotArea>
    </chartFormat>
    <chartFormat chart="0" format="38" series="1">
      <pivotArea type="data" outline="0" fieldPosition="0">
        <references count="2">
          <reference field="4294967294" count="1" selected="0">
            <x v="0"/>
          </reference>
          <reference field="12" count="1" selected="0">
            <x v="1"/>
          </reference>
        </references>
      </pivotArea>
    </chartFormat>
    <chartFormat chart="0" format="39" series="1">
      <pivotArea type="data" outline="0" fieldPosition="0">
        <references count="2">
          <reference field="4294967294" count="1" selected="0">
            <x v="0"/>
          </reference>
          <reference field="12" count="1" selected="0">
            <x v="2"/>
          </reference>
        </references>
      </pivotArea>
    </chartFormat>
    <chartFormat chart="2" format="39" series="1">
      <pivotArea type="data" outline="0" fieldPosition="0">
        <references count="1">
          <reference field="4294967294" count="1" selected="0">
            <x v="0"/>
          </reference>
        </references>
      </pivotArea>
    </chartFormat>
    <chartFormat chart="0" format="40" series="1">
      <pivotArea type="data" outline="0" fieldPosition="0">
        <references count="1">
          <reference field="4294967294" count="1" selected="0">
            <x v="0"/>
          </reference>
        </references>
      </pivotArea>
    </chartFormat>
    <chartFormat chart="2" format="40" series="1">
      <pivotArea type="data" outline="0" fieldPosition="0">
        <references count="2">
          <reference field="4294967294" count="1" selected="0">
            <x v="0"/>
          </reference>
          <reference field="12" count="1" selected="0">
            <x v="1"/>
          </reference>
        </references>
      </pivotArea>
    </chartFormat>
    <chartFormat chart="2" format="41" series="1">
      <pivotArea type="data" outline="0" fieldPosition="0">
        <references count="2">
          <reference field="4294967294" count="1" selected="0">
            <x v="0"/>
          </reference>
          <reference field="12" count="1" selected="0">
            <x v="2"/>
          </reference>
        </references>
      </pivotArea>
    </chartFormat>
    <chartFormat chart="2" format="42">
      <pivotArea type="data" outline="0" fieldPosition="0">
        <references count="2">
          <reference field="4294967294" count="1" selected="0">
            <x v="0"/>
          </reference>
          <reference field="12" count="1" selected="0">
            <x v="0"/>
          </reference>
        </references>
      </pivotArea>
    </chartFormat>
    <chartFormat chart="2" format="43">
      <pivotArea type="data" outline="0" fieldPosition="0">
        <references count="2">
          <reference field="4294967294" count="1" selected="0">
            <x v="0"/>
          </reference>
          <reference field="12" count="1" selected="0">
            <x v="1"/>
          </reference>
        </references>
      </pivotArea>
    </chartFormat>
    <chartFormat chart="2" format="4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C5710F-6993-4314-BEEB-FCC558395A4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3">
    <pivotField showAll="0"/>
    <pivotField showAll="0">
      <items count="3">
        <item x="1"/>
        <item x="0"/>
        <item t="default"/>
      </items>
    </pivotField>
    <pivotField axis="axisRow" showAll="0">
      <items count="32">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pivotField dataField="1" showAll="0">
      <items count="28">
        <item x="13"/>
        <item x="2"/>
        <item x="5"/>
        <item x="0"/>
        <item x="1"/>
        <item x="3"/>
        <item x="10"/>
        <item x="6"/>
        <item x="18"/>
        <item x="14"/>
        <item x="21"/>
        <item x="19"/>
        <item x="17"/>
        <item x="12"/>
        <item x="15"/>
        <item x="16"/>
        <item x="11"/>
        <item x="7"/>
        <item x="8"/>
        <item x="4"/>
        <item x="9"/>
        <item x="20"/>
        <item x="22"/>
        <item x="26"/>
        <item x="23"/>
        <item x="25"/>
        <item x="24"/>
        <item t="default"/>
      </items>
    </pivotField>
    <pivotField showAll="0"/>
    <pivotField showAll="0"/>
    <pivotField showAll="0"/>
    <pivotField showAll="0"/>
    <pivotField showAll="0"/>
    <pivotField showAll="0"/>
    <pivotField showAll="0"/>
    <pivotField showAll="0"/>
  </pivotFields>
  <rowFields count="1">
    <field x="2"/>
  </rowFields>
  <rowItems count="2">
    <i>
      <x v="3"/>
    </i>
    <i t="grand">
      <x/>
    </i>
  </rowItems>
  <colItems count="1">
    <i/>
  </colItems>
  <dataFields count="1">
    <dataField name="Sum of Sleep Duration" fld="4" baseField="0" baseItem="0"/>
  </dataFields>
  <chartFormats count="1">
    <chartFormat chart="0"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49AAE1-7209-45C2-A1C9-91A5170B914A}" autoFormatId="16" applyNumberFormats="0" applyBorderFormats="0" applyFontFormats="0" applyPatternFormats="0" applyAlignmentFormats="0" applyWidthHeightFormats="0">
  <queryTableRefresh nextId="14">
    <queryTableFields count="13">
      <queryTableField id="1" name="Person ID" tableColumnId="1"/>
      <queryTableField id="2" name="Gender" tableColumnId="2"/>
      <queryTableField id="3" name="Age" tableColumnId="3"/>
      <queryTableField id="4" name="Occupation" tableColumnId="4"/>
      <queryTableField id="5" name="Sleep Duration" tableColumnId="5"/>
      <queryTableField id="6" name="Quality of Sleep" tableColumnId="6"/>
      <queryTableField id="7" name="Physical Activity Level" tableColumnId="7"/>
      <queryTableField id="8" name="Stress Level" tableColumnId="8"/>
      <queryTableField id="9" name="BMI Category" tableColumnId="9"/>
      <queryTableField id="10" name="Blood Pressure" tableColumnId="10"/>
      <queryTableField id="11" name="Heart Rate" tableColumnId="11"/>
      <queryTableField id="12" name="Daily Steps" tableColumnId="12"/>
      <queryTableField id="13" name="Sleep Disorde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34403DD-CEEB-4CF2-9FC9-C636504473FB}" sourceName="Occupation">
  <pivotTables>
    <pivotTable tabId="4" name="PivotTable3"/>
  </pivotTables>
  <data>
    <tabular pivotCacheId="635687378">
      <items count="11">
        <i x="6" s="1"/>
        <i x="1" s="1"/>
        <i x="5" s="1"/>
        <i x="8" s="1"/>
        <i x="10" s="1"/>
        <i x="4" s="1"/>
        <i x="2" s="1"/>
        <i x="9" s="1"/>
        <i x="7"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C2750DD2-41BB-4710-8E2E-114ADEC99E72}" cache="Slicer_Occupation" caption="Occupat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11E6BA-773E-45D1-B254-B9E4B982DABF}" name="Sleep_Health_and_Lifestyle_Dataset" displayName="Sleep_Health_and_Lifestyle_Dataset" ref="A1:M375" tableType="queryTable" totalsRowShown="0">
  <autoFilter ref="A1:M375" xr:uid="{6B11E6BA-773E-45D1-B254-B9E4B982DABF}"/>
  <tableColumns count="13">
    <tableColumn id="1" xr3:uid="{FC48202C-0D30-4610-892B-405BE502B861}" uniqueName="1" name="Person ID" queryTableFieldId="1"/>
    <tableColumn id="2" xr3:uid="{98D48AAD-E979-4DC2-A9B6-5BD61CCECFC9}" uniqueName="2" name="Gender" queryTableFieldId="2" dataDxfId="10"/>
    <tableColumn id="3" xr3:uid="{AB6C304E-C318-467B-8432-1DBD8DD3CEE8}" uniqueName="3" name="Age" queryTableFieldId="3"/>
    <tableColumn id="4" xr3:uid="{3D0DA479-AD35-47FE-AF04-344B5CB309CA}" uniqueName="4" name="Occupation" queryTableFieldId="4" dataDxfId="9"/>
    <tableColumn id="5" xr3:uid="{598E3B98-76CB-459F-9713-4E5565183626}" uniqueName="5" name="Sleep Duration" queryTableFieldId="5"/>
    <tableColumn id="6" xr3:uid="{52F866EA-6511-4E50-AEA2-D5F8DAECAA33}" uniqueName="6" name="Quality of Sleep" queryTableFieldId="6"/>
    <tableColumn id="7" xr3:uid="{FD17C442-5193-4260-A5E7-15A3405F371D}" uniqueName="7" name="Physical Activity Level" queryTableFieldId="7"/>
    <tableColumn id="8" xr3:uid="{B859F8B7-F0F2-440F-A051-1287D52714BE}" uniqueName="8" name="Stress Level" queryTableFieldId="8"/>
    <tableColumn id="9" xr3:uid="{2F2C78DA-23D8-46C3-8879-984604667EA9}" uniqueName="9" name="BMI Category" queryTableFieldId="9" dataDxfId="8"/>
    <tableColumn id="10" xr3:uid="{44832F07-8686-4AD7-B88E-5158BCCA5DC2}" uniqueName="10" name="Blood Pressure" queryTableFieldId="10" dataDxfId="7"/>
    <tableColumn id="11" xr3:uid="{1BE80909-BC21-4D56-8E30-A24833C3D892}" uniqueName="11" name="Heart Rate" queryTableFieldId="11"/>
    <tableColumn id="12" xr3:uid="{46250B10-CC2B-4BAB-A9DA-D6BDFAEF12D8}" uniqueName="12" name="Daily Steps" queryTableFieldId="12"/>
    <tableColumn id="13" xr3:uid="{950F19E1-B55A-47C7-8C52-73B719C903FB}" uniqueName="13" name="Sleep Disorder" queryTableFieldId="13"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CB55-8A8E-49A2-96EB-0E7339C5C9C6}">
  <sheetPr codeName="Sheet1"/>
  <dimension ref="A1:M375"/>
  <sheetViews>
    <sheetView topLeftCell="A2" workbookViewId="0">
      <selection activeCell="F9" sqref="F9"/>
    </sheetView>
  </sheetViews>
  <sheetFormatPr defaultRowHeight="14.4" x14ac:dyDescent="0.3"/>
  <cols>
    <col min="1" max="1" width="11.21875" bestFit="1" customWidth="1"/>
    <col min="2" max="2" width="9.33203125" bestFit="1" customWidth="1"/>
    <col min="3" max="3" width="6.44140625" bestFit="1" customWidth="1"/>
    <col min="4" max="4" width="18" bestFit="1" customWidth="1"/>
    <col min="5" max="5" width="15.6640625" bestFit="1" customWidth="1"/>
    <col min="6" max="6" width="16.5546875" bestFit="1" customWidth="1"/>
    <col min="7" max="7" width="21.77734375" bestFit="1" customWidth="1"/>
    <col min="8" max="8" width="12.88671875" bestFit="1" customWidth="1"/>
    <col min="9" max="9" width="14.6640625" bestFit="1" customWidth="1"/>
    <col min="10" max="10" width="15.77734375" bestFit="1" customWidth="1"/>
    <col min="11" max="11" width="12" bestFit="1" customWidth="1"/>
    <col min="12" max="12" width="12.33203125" bestFit="1" customWidth="1"/>
    <col min="13" max="13" width="15.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t="s">
        <v>13</v>
      </c>
      <c r="C2">
        <v>27</v>
      </c>
      <c r="D2" t="s">
        <v>14</v>
      </c>
      <c r="E2">
        <v>6.1</v>
      </c>
      <c r="F2">
        <v>6</v>
      </c>
      <c r="G2">
        <v>42</v>
      </c>
      <c r="H2">
        <v>6</v>
      </c>
      <c r="I2" t="s">
        <v>15</v>
      </c>
      <c r="J2" t="s">
        <v>16</v>
      </c>
      <c r="K2">
        <v>77</v>
      </c>
      <c r="L2">
        <v>4200</v>
      </c>
      <c r="M2" t="s">
        <v>17</v>
      </c>
    </row>
    <row r="3" spans="1:13" x14ac:dyDescent="0.3">
      <c r="A3">
        <v>2</v>
      </c>
      <c r="B3" t="s">
        <v>13</v>
      </c>
      <c r="C3">
        <v>28</v>
      </c>
      <c r="D3" t="s">
        <v>18</v>
      </c>
      <c r="E3">
        <v>6.2</v>
      </c>
      <c r="F3">
        <v>6</v>
      </c>
      <c r="G3">
        <v>60</v>
      </c>
      <c r="H3">
        <v>8</v>
      </c>
      <c r="I3" t="s">
        <v>19</v>
      </c>
      <c r="J3" t="s">
        <v>20</v>
      </c>
      <c r="K3">
        <v>75</v>
      </c>
      <c r="L3">
        <v>10000</v>
      </c>
      <c r="M3" t="s">
        <v>17</v>
      </c>
    </row>
    <row r="4" spans="1:13" x14ac:dyDescent="0.3">
      <c r="A4">
        <v>3</v>
      </c>
      <c r="B4" t="s">
        <v>13</v>
      </c>
      <c r="C4">
        <v>28</v>
      </c>
      <c r="D4" t="s">
        <v>18</v>
      </c>
      <c r="E4">
        <v>6.2</v>
      </c>
      <c r="F4">
        <v>6</v>
      </c>
      <c r="G4">
        <v>60</v>
      </c>
      <c r="H4">
        <v>8</v>
      </c>
      <c r="I4" t="s">
        <v>19</v>
      </c>
      <c r="J4" t="s">
        <v>20</v>
      </c>
      <c r="K4">
        <v>75</v>
      </c>
      <c r="L4">
        <v>10000</v>
      </c>
      <c r="M4" t="s">
        <v>17</v>
      </c>
    </row>
    <row r="5" spans="1:13" x14ac:dyDescent="0.3">
      <c r="A5">
        <v>4</v>
      </c>
      <c r="B5" t="s">
        <v>13</v>
      </c>
      <c r="C5">
        <v>28</v>
      </c>
      <c r="D5" t="s">
        <v>21</v>
      </c>
      <c r="E5">
        <v>5.9</v>
      </c>
      <c r="F5">
        <v>4</v>
      </c>
      <c r="G5">
        <v>30</v>
      </c>
      <c r="H5">
        <v>8</v>
      </c>
      <c r="I5" t="s">
        <v>22</v>
      </c>
      <c r="J5" t="s">
        <v>23</v>
      </c>
      <c r="K5">
        <v>85</v>
      </c>
      <c r="L5">
        <v>3000</v>
      </c>
      <c r="M5" t="s">
        <v>24</v>
      </c>
    </row>
    <row r="6" spans="1:13" x14ac:dyDescent="0.3">
      <c r="A6">
        <v>5</v>
      </c>
      <c r="B6" t="s">
        <v>13</v>
      </c>
      <c r="C6">
        <v>28</v>
      </c>
      <c r="D6" t="s">
        <v>21</v>
      </c>
      <c r="E6">
        <v>5.9</v>
      </c>
      <c r="F6">
        <v>4</v>
      </c>
      <c r="G6">
        <v>30</v>
      </c>
      <c r="H6">
        <v>8</v>
      </c>
      <c r="I6" t="s">
        <v>22</v>
      </c>
      <c r="J6" t="s">
        <v>23</v>
      </c>
      <c r="K6">
        <v>85</v>
      </c>
      <c r="L6">
        <v>3000</v>
      </c>
      <c r="M6" t="s">
        <v>24</v>
      </c>
    </row>
    <row r="7" spans="1:13" x14ac:dyDescent="0.3">
      <c r="A7">
        <v>6</v>
      </c>
      <c r="B7" t="s">
        <v>13</v>
      </c>
      <c r="C7">
        <v>28</v>
      </c>
      <c r="D7" t="s">
        <v>14</v>
      </c>
      <c r="E7">
        <v>5.9</v>
      </c>
      <c r="F7">
        <v>4</v>
      </c>
      <c r="G7">
        <v>30</v>
      </c>
      <c r="H7">
        <v>8</v>
      </c>
      <c r="I7" t="s">
        <v>22</v>
      </c>
      <c r="J7" t="s">
        <v>23</v>
      </c>
      <c r="K7">
        <v>85</v>
      </c>
      <c r="L7">
        <v>3000</v>
      </c>
      <c r="M7" t="s">
        <v>25</v>
      </c>
    </row>
    <row r="8" spans="1:13" x14ac:dyDescent="0.3">
      <c r="A8">
        <v>7</v>
      </c>
      <c r="B8" t="s">
        <v>13</v>
      </c>
      <c r="C8">
        <v>29</v>
      </c>
      <c r="D8" t="s">
        <v>26</v>
      </c>
      <c r="E8">
        <v>6.3</v>
      </c>
      <c r="F8">
        <v>6</v>
      </c>
      <c r="G8">
        <v>40</v>
      </c>
      <c r="H8">
        <v>7</v>
      </c>
      <c r="I8" t="s">
        <v>22</v>
      </c>
      <c r="J8" t="s">
        <v>23</v>
      </c>
      <c r="K8">
        <v>82</v>
      </c>
      <c r="L8">
        <v>3500</v>
      </c>
      <c r="M8" t="s">
        <v>25</v>
      </c>
    </row>
    <row r="9" spans="1:13" x14ac:dyDescent="0.3">
      <c r="A9">
        <v>8</v>
      </c>
      <c r="B9" t="s">
        <v>13</v>
      </c>
      <c r="C9">
        <v>29</v>
      </c>
      <c r="D9" t="s">
        <v>18</v>
      </c>
      <c r="E9">
        <v>7.8</v>
      </c>
      <c r="F9">
        <v>7</v>
      </c>
      <c r="G9">
        <v>75</v>
      </c>
      <c r="H9">
        <v>6</v>
      </c>
      <c r="I9" t="s">
        <v>19</v>
      </c>
      <c r="J9" t="s">
        <v>27</v>
      </c>
      <c r="K9">
        <v>70</v>
      </c>
      <c r="L9">
        <v>8000</v>
      </c>
      <c r="M9" t="s">
        <v>17</v>
      </c>
    </row>
    <row r="10" spans="1:13" x14ac:dyDescent="0.3">
      <c r="A10">
        <v>9</v>
      </c>
      <c r="B10" t="s">
        <v>13</v>
      </c>
      <c r="C10">
        <v>29</v>
      </c>
      <c r="D10" t="s">
        <v>18</v>
      </c>
      <c r="E10">
        <v>7.8</v>
      </c>
      <c r="F10">
        <v>7</v>
      </c>
      <c r="G10">
        <v>75</v>
      </c>
      <c r="H10">
        <v>6</v>
      </c>
      <c r="I10" t="s">
        <v>19</v>
      </c>
      <c r="J10" t="s">
        <v>27</v>
      </c>
      <c r="K10">
        <v>70</v>
      </c>
      <c r="L10">
        <v>8000</v>
      </c>
      <c r="M10" t="s">
        <v>17</v>
      </c>
    </row>
    <row r="11" spans="1:13" x14ac:dyDescent="0.3">
      <c r="A11">
        <v>10</v>
      </c>
      <c r="B11" t="s">
        <v>13</v>
      </c>
      <c r="C11">
        <v>29</v>
      </c>
      <c r="D11" t="s">
        <v>18</v>
      </c>
      <c r="E11">
        <v>7.8</v>
      </c>
      <c r="F11">
        <v>7</v>
      </c>
      <c r="G11">
        <v>75</v>
      </c>
      <c r="H11">
        <v>6</v>
      </c>
      <c r="I11" t="s">
        <v>19</v>
      </c>
      <c r="J11" t="s">
        <v>27</v>
      </c>
      <c r="K11">
        <v>70</v>
      </c>
      <c r="L11">
        <v>8000</v>
      </c>
      <c r="M11" t="s">
        <v>17</v>
      </c>
    </row>
    <row r="12" spans="1:13" x14ac:dyDescent="0.3">
      <c r="A12">
        <v>11</v>
      </c>
      <c r="B12" t="s">
        <v>13</v>
      </c>
      <c r="C12">
        <v>29</v>
      </c>
      <c r="D12" t="s">
        <v>18</v>
      </c>
      <c r="E12">
        <v>6.1</v>
      </c>
      <c r="F12">
        <v>6</v>
      </c>
      <c r="G12">
        <v>30</v>
      </c>
      <c r="H12">
        <v>8</v>
      </c>
      <c r="I12" t="s">
        <v>19</v>
      </c>
      <c r="J12" t="s">
        <v>27</v>
      </c>
      <c r="K12">
        <v>70</v>
      </c>
      <c r="L12">
        <v>8000</v>
      </c>
      <c r="M12" t="s">
        <v>17</v>
      </c>
    </row>
    <row r="13" spans="1:13" x14ac:dyDescent="0.3">
      <c r="A13">
        <v>12</v>
      </c>
      <c r="B13" t="s">
        <v>13</v>
      </c>
      <c r="C13">
        <v>29</v>
      </c>
      <c r="D13" t="s">
        <v>18</v>
      </c>
      <c r="E13">
        <v>7.8</v>
      </c>
      <c r="F13">
        <v>7</v>
      </c>
      <c r="G13">
        <v>75</v>
      </c>
      <c r="H13">
        <v>6</v>
      </c>
      <c r="I13" t="s">
        <v>19</v>
      </c>
      <c r="J13" t="s">
        <v>27</v>
      </c>
      <c r="K13">
        <v>70</v>
      </c>
      <c r="L13">
        <v>8000</v>
      </c>
      <c r="M13" t="s">
        <v>17</v>
      </c>
    </row>
    <row r="14" spans="1:13" x14ac:dyDescent="0.3">
      <c r="A14">
        <v>13</v>
      </c>
      <c r="B14" t="s">
        <v>13</v>
      </c>
      <c r="C14">
        <v>29</v>
      </c>
      <c r="D14" t="s">
        <v>18</v>
      </c>
      <c r="E14">
        <v>6.1</v>
      </c>
      <c r="F14">
        <v>6</v>
      </c>
      <c r="G14">
        <v>30</v>
      </c>
      <c r="H14">
        <v>8</v>
      </c>
      <c r="I14" t="s">
        <v>19</v>
      </c>
      <c r="J14" t="s">
        <v>27</v>
      </c>
      <c r="K14">
        <v>70</v>
      </c>
      <c r="L14">
        <v>8000</v>
      </c>
      <c r="M14" t="s">
        <v>17</v>
      </c>
    </row>
    <row r="15" spans="1:13" x14ac:dyDescent="0.3">
      <c r="A15">
        <v>14</v>
      </c>
      <c r="B15" t="s">
        <v>13</v>
      </c>
      <c r="C15">
        <v>29</v>
      </c>
      <c r="D15" t="s">
        <v>18</v>
      </c>
      <c r="E15">
        <v>6</v>
      </c>
      <c r="F15">
        <v>6</v>
      </c>
      <c r="G15">
        <v>30</v>
      </c>
      <c r="H15">
        <v>8</v>
      </c>
      <c r="I15" t="s">
        <v>19</v>
      </c>
      <c r="J15" t="s">
        <v>27</v>
      </c>
      <c r="K15">
        <v>70</v>
      </c>
      <c r="L15">
        <v>8000</v>
      </c>
      <c r="M15" t="s">
        <v>17</v>
      </c>
    </row>
    <row r="16" spans="1:13" x14ac:dyDescent="0.3">
      <c r="A16">
        <v>15</v>
      </c>
      <c r="B16" t="s">
        <v>13</v>
      </c>
      <c r="C16">
        <v>29</v>
      </c>
      <c r="D16" t="s">
        <v>18</v>
      </c>
      <c r="E16">
        <v>6</v>
      </c>
      <c r="F16">
        <v>6</v>
      </c>
      <c r="G16">
        <v>30</v>
      </c>
      <c r="H16">
        <v>8</v>
      </c>
      <c r="I16" t="s">
        <v>19</v>
      </c>
      <c r="J16" t="s">
        <v>27</v>
      </c>
      <c r="K16">
        <v>70</v>
      </c>
      <c r="L16">
        <v>8000</v>
      </c>
      <c r="M16" t="s">
        <v>17</v>
      </c>
    </row>
    <row r="17" spans="1:13" x14ac:dyDescent="0.3">
      <c r="A17">
        <v>16</v>
      </c>
      <c r="B17" t="s">
        <v>13</v>
      </c>
      <c r="C17">
        <v>29</v>
      </c>
      <c r="D17" t="s">
        <v>18</v>
      </c>
      <c r="E17">
        <v>6</v>
      </c>
      <c r="F17">
        <v>6</v>
      </c>
      <c r="G17">
        <v>30</v>
      </c>
      <c r="H17">
        <v>8</v>
      </c>
      <c r="I17" t="s">
        <v>19</v>
      </c>
      <c r="J17" t="s">
        <v>27</v>
      </c>
      <c r="K17">
        <v>70</v>
      </c>
      <c r="L17">
        <v>8000</v>
      </c>
      <c r="M17" t="s">
        <v>17</v>
      </c>
    </row>
    <row r="18" spans="1:13" x14ac:dyDescent="0.3">
      <c r="A18">
        <v>17</v>
      </c>
      <c r="B18" t="s">
        <v>28</v>
      </c>
      <c r="C18">
        <v>29</v>
      </c>
      <c r="D18" t="s">
        <v>29</v>
      </c>
      <c r="E18">
        <v>6.5</v>
      </c>
      <c r="F18">
        <v>5</v>
      </c>
      <c r="G18">
        <v>40</v>
      </c>
      <c r="H18">
        <v>7</v>
      </c>
      <c r="I18" t="s">
        <v>30</v>
      </c>
      <c r="J18" t="s">
        <v>31</v>
      </c>
      <c r="K18">
        <v>80</v>
      </c>
      <c r="L18">
        <v>4000</v>
      </c>
      <c r="M18" t="s">
        <v>24</v>
      </c>
    </row>
    <row r="19" spans="1:13" x14ac:dyDescent="0.3">
      <c r="A19">
        <v>18</v>
      </c>
      <c r="B19" t="s">
        <v>13</v>
      </c>
      <c r="C19">
        <v>29</v>
      </c>
      <c r="D19" t="s">
        <v>18</v>
      </c>
      <c r="E19">
        <v>6</v>
      </c>
      <c r="F19">
        <v>6</v>
      </c>
      <c r="G19">
        <v>30</v>
      </c>
      <c r="H19">
        <v>8</v>
      </c>
      <c r="I19" t="s">
        <v>19</v>
      </c>
      <c r="J19" t="s">
        <v>27</v>
      </c>
      <c r="K19">
        <v>70</v>
      </c>
      <c r="L19">
        <v>8000</v>
      </c>
      <c r="M19" t="s">
        <v>24</v>
      </c>
    </row>
    <row r="20" spans="1:13" x14ac:dyDescent="0.3">
      <c r="A20">
        <v>19</v>
      </c>
      <c r="B20" t="s">
        <v>28</v>
      </c>
      <c r="C20">
        <v>29</v>
      </c>
      <c r="D20" t="s">
        <v>29</v>
      </c>
      <c r="E20">
        <v>6.5</v>
      </c>
      <c r="F20">
        <v>5</v>
      </c>
      <c r="G20">
        <v>40</v>
      </c>
      <c r="H20">
        <v>7</v>
      </c>
      <c r="I20" t="s">
        <v>30</v>
      </c>
      <c r="J20" t="s">
        <v>31</v>
      </c>
      <c r="K20">
        <v>80</v>
      </c>
      <c r="L20">
        <v>4000</v>
      </c>
      <c r="M20" t="s">
        <v>25</v>
      </c>
    </row>
    <row r="21" spans="1:13" x14ac:dyDescent="0.3">
      <c r="A21">
        <v>20</v>
      </c>
      <c r="B21" t="s">
        <v>13</v>
      </c>
      <c r="C21">
        <v>30</v>
      </c>
      <c r="D21" t="s">
        <v>18</v>
      </c>
      <c r="E21">
        <v>7.6</v>
      </c>
      <c r="F21">
        <v>7</v>
      </c>
      <c r="G21">
        <v>75</v>
      </c>
      <c r="H21">
        <v>6</v>
      </c>
      <c r="I21" t="s">
        <v>19</v>
      </c>
      <c r="J21" t="s">
        <v>27</v>
      </c>
      <c r="K21">
        <v>70</v>
      </c>
      <c r="L21">
        <v>8000</v>
      </c>
      <c r="M21" t="s">
        <v>17</v>
      </c>
    </row>
    <row r="22" spans="1:13" x14ac:dyDescent="0.3">
      <c r="A22">
        <v>21</v>
      </c>
      <c r="B22" t="s">
        <v>13</v>
      </c>
      <c r="C22">
        <v>30</v>
      </c>
      <c r="D22" t="s">
        <v>18</v>
      </c>
      <c r="E22">
        <v>7.7</v>
      </c>
      <c r="F22">
        <v>7</v>
      </c>
      <c r="G22">
        <v>75</v>
      </c>
      <c r="H22">
        <v>6</v>
      </c>
      <c r="I22" t="s">
        <v>19</v>
      </c>
      <c r="J22" t="s">
        <v>27</v>
      </c>
      <c r="K22">
        <v>70</v>
      </c>
      <c r="L22">
        <v>8000</v>
      </c>
      <c r="M22" t="s">
        <v>17</v>
      </c>
    </row>
    <row r="23" spans="1:13" x14ac:dyDescent="0.3">
      <c r="A23">
        <v>22</v>
      </c>
      <c r="B23" t="s">
        <v>13</v>
      </c>
      <c r="C23">
        <v>30</v>
      </c>
      <c r="D23" t="s">
        <v>18</v>
      </c>
      <c r="E23">
        <v>7.7</v>
      </c>
      <c r="F23">
        <v>7</v>
      </c>
      <c r="G23">
        <v>75</v>
      </c>
      <c r="H23">
        <v>6</v>
      </c>
      <c r="I23" t="s">
        <v>19</v>
      </c>
      <c r="J23" t="s">
        <v>27</v>
      </c>
      <c r="K23">
        <v>70</v>
      </c>
      <c r="L23">
        <v>8000</v>
      </c>
      <c r="M23" t="s">
        <v>17</v>
      </c>
    </row>
    <row r="24" spans="1:13" x14ac:dyDescent="0.3">
      <c r="A24">
        <v>23</v>
      </c>
      <c r="B24" t="s">
        <v>13</v>
      </c>
      <c r="C24">
        <v>30</v>
      </c>
      <c r="D24" t="s">
        <v>18</v>
      </c>
      <c r="E24">
        <v>7.7</v>
      </c>
      <c r="F24">
        <v>7</v>
      </c>
      <c r="G24">
        <v>75</v>
      </c>
      <c r="H24">
        <v>6</v>
      </c>
      <c r="I24" t="s">
        <v>19</v>
      </c>
      <c r="J24" t="s">
        <v>27</v>
      </c>
      <c r="K24">
        <v>70</v>
      </c>
      <c r="L24">
        <v>8000</v>
      </c>
      <c r="M24" t="s">
        <v>17</v>
      </c>
    </row>
    <row r="25" spans="1:13" x14ac:dyDescent="0.3">
      <c r="A25">
        <v>24</v>
      </c>
      <c r="B25" t="s">
        <v>13</v>
      </c>
      <c r="C25">
        <v>30</v>
      </c>
      <c r="D25" t="s">
        <v>18</v>
      </c>
      <c r="E25">
        <v>7.7</v>
      </c>
      <c r="F25">
        <v>7</v>
      </c>
      <c r="G25">
        <v>75</v>
      </c>
      <c r="H25">
        <v>6</v>
      </c>
      <c r="I25" t="s">
        <v>19</v>
      </c>
      <c r="J25" t="s">
        <v>27</v>
      </c>
      <c r="K25">
        <v>70</v>
      </c>
      <c r="L25">
        <v>8000</v>
      </c>
      <c r="M25" t="s">
        <v>17</v>
      </c>
    </row>
    <row r="26" spans="1:13" x14ac:dyDescent="0.3">
      <c r="A26">
        <v>25</v>
      </c>
      <c r="B26" t="s">
        <v>13</v>
      </c>
      <c r="C26">
        <v>30</v>
      </c>
      <c r="D26" t="s">
        <v>18</v>
      </c>
      <c r="E26">
        <v>7.8</v>
      </c>
      <c r="F26">
        <v>7</v>
      </c>
      <c r="G26">
        <v>75</v>
      </c>
      <c r="H26">
        <v>6</v>
      </c>
      <c r="I26" t="s">
        <v>19</v>
      </c>
      <c r="J26" t="s">
        <v>27</v>
      </c>
      <c r="K26">
        <v>70</v>
      </c>
      <c r="L26">
        <v>8000</v>
      </c>
      <c r="M26" t="s">
        <v>17</v>
      </c>
    </row>
    <row r="27" spans="1:13" x14ac:dyDescent="0.3">
      <c r="A27">
        <v>26</v>
      </c>
      <c r="B27" t="s">
        <v>13</v>
      </c>
      <c r="C27">
        <v>30</v>
      </c>
      <c r="D27" t="s">
        <v>18</v>
      </c>
      <c r="E27">
        <v>7.9</v>
      </c>
      <c r="F27">
        <v>7</v>
      </c>
      <c r="G27">
        <v>75</v>
      </c>
      <c r="H27">
        <v>6</v>
      </c>
      <c r="I27" t="s">
        <v>19</v>
      </c>
      <c r="J27" t="s">
        <v>27</v>
      </c>
      <c r="K27">
        <v>70</v>
      </c>
      <c r="L27">
        <v>8000</v>
      </c>
      <c r="M27" t="s">
        <v>17</v>
      </c>
    </row>
    <row r="28" spans="1:13" x14ac:dyDescent="0.3">
      <c r="A28">
        <v>27</v>
      </c>
      <c r="B28" t="s">
        <v>13</v>
      </c>
      <c r="C28">
        <v>30</v>
      </c>
      <c r="D28" t="s">
        <v>18</v>
      </c>
      <c r="E28">
        <v>7.8</v>
      </c>
      <c r="F28">
        <v>7</v>
      </c>
      <c r="G28">
        <v>75</v>
      </c>
      <c r="H28">
        <v>6</v>
      </c>
      <c r="I28" t="s">
        <v>19</v>
      </c>
      <c r="J28" t="s">
        <v>27</v>
      </c>
      <c r="K28">
        <v>70</v>
      </c>
      <c r="L28">
        <v>8000</v>
      </c>
      <c r="M28" t="s">
        <v>17</v>
      </c>
    </row>
    <row r="29" spans="1:13" x14ac:dyDescent="0.3">
      <c r="A29">
        <v>28</v>
      </c>
      <c r="B29" t="s">
        <v>13</v>
      </c>
      <c r="C29">
        <v>30</v>
      </c>
      <c r="D29" t="s">
        <v>18</v>
      </c>
      <c r="E29">
        <v>7.9</v>
      </c>
      <c r="F29">
        <v>7</v>
      </c>
      <c r="G29">
        <v>75</v>
      </c>
      <c r="H29">
        <v>6</v>
      </c>
      <c r="I29" t="s">
        <v>19</v>
      </c>
      <c r="J29" t="s">
        <v>27</v>
      </c>
      <c r="K29">
        <v>70</v>
      </c>
      <c r="L29">
        <v>8000</v>
      </c>
      <c r="M29" t="s">
        <v>17</v>
      </c>
    </row>
    <row r="30" spans="1:13" x14ac:dyDescent="0.3">
      <c r="A30">
        <v>29</v>
      </c>
      <c r="B30" t="s">
        <v>13</v>
      </c>
      <c r="C30">
        <v>30</v>
      </c>
      <c r="D30" t="s">
        <v>18</v>
      </c>
      <c r="E30">
        <v>7.9</v>
      </c>
      <c r="F30">
        <v>7</v>
      </c>
      <c r="G30">
        <v>75</v>
      </c>
      <c r="H30">
        <v>6</v>
      </c>
      <c r="I30" t="s">
        <v>19</v>
      </c>
      <c r="J30" t="s">
        <v>27</v>
      </c>
      <c r="K30">
        <v>70</v>
      </c>
      <c r="L30">
        <v>8000</v>
      </c>
      <c r="M30" t="s">
        <v>17</v>
      </c>
    </row>
    <row r="31" spans="1:13" x14ac:dyDescent="0.3">
      <c r="A31">
        <v>30</v>
      </c>
      <c r="B31" t="s">
        <v>13</v>
      </c>
      <c r="C31">
        <v>30</v>
      </c>
      <c r="D31" t="s">
        <v>18</v>
      </c>
      <c r="E31">
        <v>7.9</v>
      </c>
      <c r="F31">
        <v>7</v>
      </c>
      <c r="G31">
        <v>75</v>
      </c>
      <c r="H31">
        <v>6</v>
      </c>
      <c r="I31" t="s">
        <v>19</v>
      </c>
      <c r="J31" t="s">
        <v>27</v>
      </c>
      <c r="K31">
        <v>70</v>
      </c>
      <c r="L31">
        <v>8000</v>
      </c>
      <c r="M31" t="s">
        <v>17</v>
      </c>
    </row>
    <row r="32" spans="1:13" x14ac:dyDescent="0.3">
      <c r="A32">
        <v>31</v>
      </c>
      <c r="B32" t="s">
        <v>28</v>
      </c>
      <c r="C32">
        <v>30</v>
      </c>
      <c r="D32" t="s">
        <v>29</v>
      </c>
      <c r="E32">
        <v>6.4</v>
      </c>
      <c r="F32">
        <v>5</v>
      </c>
      <c r="G32">
        <v>35</v>
      </c>
      <c r="H32">
        <v>7</v>
      </c>
      <c r="I32" t="s">
        <v>30</v>
      </c>
      <c r="J32" t="s">
        <v>32</v>
      </c>
      <c r="K32">
        <v>78</v>
      </c>
      <c r="L32">
        <v>4100</v>
      </c>
      <c r="M32" t="s">
        <v>24</v>
      </c>
    </row>
    <row r="33" spans="1:13" x14ac:dyDescent="0.3">
      <c r="A33">
        <v>32</v>
      </c>
      <c r="B33" t="s">
        <v>28</v>
      </c>
      <c r="C33">
        <v>30</v>
      </c>
      <c r="D33" t="s">
        <v>29</v>
      </c>
      <c r="E33">
        <v>6.4</v>
      </c>
      <c r="F33">
        <v>5</v>
      </c>
      <c r="G33">
        <v>35</v>
      </c>
      <c r="H33">
        <v>7</v>
      </c>
      <c r="I33" t="s">
        <v>30</v>
      </c>
      <c r="J33" t="s">
        <v>32</v>
      </c>
      <c r="K33">
        <v>78</v>
      </c>
      <c r="L33">
        <v>4100</v>
      </c>
      <c r="M33" t="s">
        <v>25</v>
      </c>
    </row>
    <row r="34" spans="1:13" x14ac:dyDescent="0.3">
      <c r="A34">
        <v>33</v>
      </c>
      <c r="B34" t="s">
        <v>28</v>
      </c>
      <c r="C34">
        <v>31</v>
      </c>
      <c r="D34" t="s">
        <v>29</v>
      </c>
      <c r="E34">
        <v>7.9</v>
      </c>
      <c r="F34">
        <v>8</v>
      </c>
      <c r="G34">
        <v>75</v>
      </c>
      <c r="H34">
        <v>4</v>
      </c>
      <c r="I34" t="s">
        <v>30</v>
      </c>
      <c r="J34" t="s">
        <v>33</v>
      </c>
      <c r="K34">
        <v>69</v>
      </c>
      <c r="L34">
        <v>6800</v>
      </c>
      <c r="M34" t="s">
        <v>17</v>
      </c>
    </row>
    <row r="35" spans="1:13" x14ac:dyDescent="0.3">
      <c r="A35">
        <v>34</v>
      </c>
      <c r="B35" t="s">
        <v>13</v>
      </c>
      <c r="C35">
        <v>31</v>
      </c>
      <c r="D35" t="s">
        <v>18</v>
      </c>
      <c r="E35">
        <v>6.1</v>
      </c>
      <c r="F35">
        <v>6</v>
      </c>
      <c r="G35">
        <v>30</v>
      </c>
      <c r="H35">
        <v>8</v>
      </c>
      <c r="I35" t="s">
        <v>19</v>
      </c>
      <c r="J35" t="s">
        <v>20</v>
      </c>
      <c r="K35">
        <v>72</v>
      </c>
      <c r="L35">
        <v>5000</v>
      </c>
      <c r="M35" t="s">
        <v>17</v>
      </c>
    </row>
    <row r="36" spans="1:13" x14ac:dyDescent="0.3">
      <c r="A36">
        <v>35</v>
      </c>
      <c r="B36" t="s">
        <v>13</v>
      </c>
      <c r="C36">
        <v>31</v>
      </c>
      <c r="D36" t="s">
        <v>18</v>
      </c>
      <c r="E36">
        <v>7.7</v>
      </c>
      <c r="F36">
        <v>7</v>
      </c>
      <c r="G36">
        <v>75</v>
      </c>
      <c r="H36">
        <v>6</v>
      </c>
      <c r="I36" t="s">
        <v>19</v>
      </c>
      <c r="J36" t="s">
        <v>27</v>
      </c>
      <c r="K36">
        <v>70</v>
      </c>
      <c r="L36">
        <v>8000</v>
      </c>
      <c r="M36" t="s">
        <v>17</v>
      </c>
    </row>
    <row r="37" spans="1:13" x14ac:dyDescent="0.3">
      <c r="A37">
        <v>36</v>
      </c>
      <c r="B37" t="s">
        <v>13</v>
      </c>
      <c r="C37">
        <v>31</v>
      </c>
      <c r="D37" t="s">
        <v>18</v>
      </c>
      <c r="E37">
        <v>6.1</v>
      </c>
      <c r="F37">
        <v>6</v>
      </c>
      <c r="G37">
        <v>30</v>
      </c>
      <c r="H37">
        <v>8</v>
      </c>
      <c r="I37" t="s">
        <v>19</v>
      </c>
      <c r="J37" t="s">
        <v>20</v>
      </c>
      <c r="K37">
        <v>72</v>
      </c>
      <c r="L37">
        <v>5000</v>
      </c>
      <c r="M37" t="s">
        <v>17</v>
      </c>
    </row>
    <row r="38" spans="1:13" x14ac:dyDescent="0.3">
      <c r="A38">
        <v>37</v>
      </c>
      <c r="B38" t="s">
        <v>13</v>
      </c>
      <c r="C38">
        <v>31</v>
      </c>
      <c r="D38" t="s">
        <v>18</v>
      </c>
      <c r="E38">
        <v>6.1</v>
      </c>
      <c r="F38">
        <v>6</v>
      </c>
      <c r="G38">
        <v>30</v>
      </c>
      <c r="H38">
        <v>8</v>
      </c>
      <c r="I38" t="s">
        <v>19</v>
      </c>
      <c r="J38" t="s">
        <v>20</v>
      </c>
      <c r="K38">
        <v>72</v>
      </c>
      <c r="L38">
        <v>5000</v>
      </c>
      <c r="M38" t="s">
        <v>17</v>
      </c>
    </row>
    <row r="39" spans="1:13" x14ac:dyDescent="0.3">
      <c r="A39">
        <v>38</v>
      </c>
      <c r="B39" t="s">
        <v>13</v>
      </c>
      <c r="C39">
        <v>31</v>
      </c>
      <c r="D39" t="s">
        <v>18</v>
      </c>
      <c r="E39">
        <v>7.6</v>
      </c>
      <c r="F39">
        <v>7</v>
      </c>
      <c r="G39">
        <v>75</v>
      </c>
      <c r="H39">
        <v>6</v>
      </c>
      <c r="I39" t="s">
        <v>19</v>
      </c>
      <c r="J39" t="s">
        <v>27</v>
      </c>
      <c r="K39">
        <v>70</v>
      </c>
      <c r="L39">
        <v>8000</v>
      </c>
      <c r="M39" t="s">
        <v>17</v>
      </c>
    </row>
    <row r="40" spans="1:13" x14ac:dyDescent="0.3">
      <c r="A40">
        <v>39</v>
      </c>
      <c r="B40" t="s">
        <v>13</v>
      </c>
      <c r="C40">
        <v>31</v>
      </c>
      <c r="D40" t="s">
        <v>18</v>
      </c>
      <c r="E40">
        <v>7.6</v>
      </c>
      <c r="F40">
        <v>7</v>
      </c>
      <c r="G40">
        <v>75</v>
      </c>
      <c r="H40">
        <v>6</v>
      </c>
      <c r="I40" t="s">
        <v>19</v>
      </c>
      <c r="J40" t="s">
        <v>27</v>
      </c>
      <c r="K40">
        <v>70</v>
      </c>
      <c r="L40">
        <v>8000</v>
      </c>
      <c r="M40" t="s">
        <v>17</v>
      </c>
    </row>
    <row r="41" spans="1:13" x14ac:dyDescent="0.3">
      <c r="A41">
        <v>40</v>
      </c>
      <c r="B41" t="s">
        <v>13</v>
      </c>
      <c r="C41">
        <v>31</v>
      </c>
      <c r="D41" t="s">
        <v>18</v>
      </c>
      <c r="E41">
        <v>7.6</v>
      </c>
      <c r="F41">
        <v>7</v>
      </c>
      <c r="G41">
        <v>75</v>
      </c>
      <c r="H41">
        <v>6</v>
      </c>
      <c r="I41" t="s">
        <v>19</v>
      </c>
      <c r="J41" t="s">
        <v>27</v>
      </c>
      <c r="K41">
        <v>70</v>
      </c>
      <c r="L41">
        <v>8000</v>
      </c>
      <c r="M41" t="s">
        <v>17</v>
      </c>
    </row>
    <row r="42" spans="1:13" x14ac:dyDescent="0.3">
      <c r="A42">
        <v>41</v>
      </c>
      <c r="B42" t="s">
        <v>13</v>
      </c>
      <c r="C42">
        <v>31</v>
      </c>
      <c r="D42" t="s">
        <v>18</v>
      </c>
      <c r="E42">
        <v>7.7</v>
      </c>
      <c r="F42">
        <v>7</v>
      </c>
      <c r="G42">
        <v>75</v>
      </c>
      <c r="H42">
        <v>6</v>
      </c>
      <c r="I42" t="s">
        <v>19</v>
      </c>
      <c r="J42" t="s">
        <v>27</v>
      </c>
      <c r="K42">
        <v>70</v>
      </c>
      <c r="L42">
        <v>8000</v>
      </c>
      <c r="M42" t="s">
        <v>17</v>
      </c>
    </row>
    <row r="43" spans="1:13" x14ac:dyDescent="0.3">
      <c r="A43">
        <v>42</v>
      </c>
      <c r="B43" t="s">
        <v>13</v>
      </c>
      <c r="C43">
        <v>31</v>
      </c>
      <c r="D43" t="s">
        <v>18</v>
      </c>
      <c r="E43">
        <v>7.7</v>
      </c>
      <c r="F43">
        <v>7</v>
      </c>
      <c r="G43">
        <v>75</v>
      </c>
      <c r="H43">
        <v>6</v>
      </c>
      <c r="I43" t="s">
        <v>19</v>
      </c>
      <c r="J43" t="s">
        <v>27</v>
      </c>
      <c r="K43">
        <v>70</v>
      </c>
      <c r="L43">
        <v>8000</v>
      </c>
      <c r="M43" t="s">
        <v>17</v>
      </c>
    </row>
    <row r="44" spans="1:13" x14ac:dyDescent="0.3">
      <c r="A44">
        <v>43</v>
      </c>
      <c r="B44" t="s">
        <v>13</v>
      </c>
      <c r="C44">
        <v>31</v>
      </c>
      <c r="D44" t="s">
        <v>18</v>
      </c>
      <c r="E44">
        <v>7.7</v>
      </c>
      <c r="F44">
        <v>7</v>
      </c>
      <c r="G44">
        <v>75</v>
      </c>
      <c r="H44">
        <v>6</v>
      </c>
      <c r="I44" t="s">
        <v>19</v>
      </c>
      <c r="J44" t="s">
        <v>27</v>
      </c>
      <c r="K44">
        <v>70</v>
      </c>
      <c r="L44">
        <v>8000</v>
      </c>
      <c r="M44" t="s">
        <v>17</v>
      </c>
    </row>
    <row r="45" spans="1:13" x14ac:dyDescent="0.3">
      <c r="A45">
        <v>44</v>
      </c>
      <c r="B45" t="s">
        <v>13</v>
      </c>
      <c r="C45">
        <v>31</v>
      </c>
      <c r="D45" t="s">
        <v>18</v>
      </c>
      <c r="E45">
        <v>7.8</v>
      </c>
      <c r="F45">
        <v>7</v>
      </c>
      <c r="G45">
        <v>75</v>
      </c>
      <c r="H45">
        <v>6</v>
      </c>
      <c r="I45" t="s">
        <v>19</v>
      </c>
      <c r="J45" t="s">
        <v>27</v>
      </c>
      <c r="K45">
        <v>70</v>
      </c>
      <c r="L45">
        <v>8000</v>
      </c>
      <c r="M45" t="s">
        <v>17</v>
      </c>
    </row>
    <row r="46" spans="1:13" x14ac:dyDescent="0.3">
      <c r="A46">
        <v>45</v>
      </c>
      <c r="B46" t="s">
        <v>13</v>
      </c>
      <c r="C46">
        <v>31</v>
      </c>
      <c r="D46" t="s">
        <v>18</v>
      </c>
      <c r="E46">
        <v>7.7</v>
      </c>
      <c r="F46">
        <v>7</v>
      </c>
      <c r="G46">
        <v>75</v>
      </c>
      <c r="H46">
        <v>6</v>
      </c>
      <c r="I46" t="s">
        <v>19</v>
      </c>
      <c r="J46" t="s">
        <v>27</v>
      </c>
      <c r="K46">
        <v>70</v>
      </c>
      <c r="L46">
        <v>8000</v>
      </c>
      <c r="M46" t="s">
        <v>17</v>
      </c>
    </row>
    <row r="47" spans="1:13" x14ac:dyDescent="0.3">
      <c r="A47">
        <v>46</v>
      </c>
      <c r="B47" t="s">
        <v>13</v>
      </c>
      <c r="C47">
        <v>31</v>
      </c>
      <c r="D47" t="s">
        <v>18</v>
      </c>
      <c r="E47">
        <v>7.8</v>
      </c>
      <c r="F47">
        <v>7</v>
      </c>
      <c r="G47">
        <v>75</v>
      </c>
      <c r="H47">
        <v>6</v>
      </c>
      <c r="I47" t="s">
        <v>19</v>
      </c>
      <c r="J47" t="s">
        <v>27</v>
      </c>
      <c r="K47">
        <v>70</v>
      </c>
      <c r="L47">
        <v>8000</v>
      </c>
      <c r="M47" t="s">
        <v>17</v>
      </c>
    </row>
    <row r="48" spans="1:13" x14ac:dyDescent="0.3">
      <c r="A48">
        <v>47</v>
      </c>
      <c r="B48" t="s">
        <v>13</v>
      </c>
      <c r="C48">
        <v>31</v>
      </c>
      <c r="D48" t="s">
        <v>18</v>
      </c>
      <c r="E48">
        <v>7.7</v>
      </c>
      <c r="F48">
        <v>7</v>
      </c>
      <c r="G48">
        <v>75</v>
      </c>
      <c r="H48">
        <v>6</v>
      </c>
      <c r="I48" t="s">
        <v>19</v>
      </c>
      <c r="J48" t="s">
        <v>27</v>
      </c>
      <c r="K48">
        <v>70</v>
      </c>
      <c r="L48">
        <v>8000</v>
      </c>
      <c r="M48" t="s">
        <v>17</v>
      </c>
    </row>
    <row r="49" spans="1:13" x14ac:dyDescent="0.3">
      <c r="A49">
        <v>48</v>
      </c>
      <c r="B49" t="s">
        <v>13</v>
      </c>
      <c r="C49">
        <v>31</v>
      </c>
      <c r="D49" t="s">
        <v>18</v>
      </c>
      <c r="E49">
        <v>7.8</v>
      </c>
      <c r="F49">
        <v>7</v>
      </c>
      <c r="G49">
        <v>75</v>
      </c>
      <c r="H49">
        <v>6</v>
      </c>
      <c r="I49" t="s">
        <v>19</v>
      </c>
      <c r="J49" t="s">
        <v>27</v>
      </c>
      <c r="K49">
        <v>70</v>
      </c>
      <c r="L49">
        <v>8000</v>
      </c>
      <c r="M49" t="s">
        <v>17</v>
      </c>
    </row>
    <row r="50" spans="1:13" x14ac:dyDescent="0.3">
      <c r="A50">
        <v>49</v>
      </c>
      <c r="B50" t="s">
        <v>13</v>
      </c>
      <c r="C50">
        <v>31</v>
      </c>
      <c r="D50" t="s">
        <v>18</v>
      </c>
      <c r="E50">
        <v>7.7</v>
      </c>
      <c r="F50">
        <v>7</v>
      </c>
      <c r="G50">
        <v>75</v>
      </c>
      <c r="H50">
        <v>6</v>
      </c>
      <c r="I50" t="s">
        <v>19</v>
      </c>
      <c r="J50" t="s">
        <v>27</v>
      </c>
      <c r="K50">
        <v>70</v>
      </c>
      <c r="L50">
        <v>8000</v>
      </c>
      <c r="M50" t="s">
        <v>17</v>
      </c>
    </row>
    <row r="51" spans="1:13" x14ac:dyDescent="0.3">
      <c r="A51">
        <v>50</v>
      </c>
      <c r="B51" t="s">
        <v>13</v>
      </c>
      <c r="C51">
        <v>31</v>
      </c>
      <c r="D51" t="s">
        <v>18</v>
      </c>
      <c r="E51">
        <v>7.7</v>
      </c>
      <c r="F51">
        <v>7</v>
      </c>
      <c r="G51">
        <v>75</v>
      </c>
      <c r="H51">
        <v>6</v>
      </c>
      <c r="I51" t="s">
        <v>19</v>
      </c>
      <c r="J51" t="s">
        <v>27</v>
      </c>
      <c r="K51">
        <v>70</v>
      </c>
      <c r="L51">
        <v>8000</v>
      </c>
      <c r="M51" t="s">
        <v>24</v>
      </c>
    </row>
    <row r="52" spans="1:13" x14ac:dyDescent="0.3">
      <c r="A52">
        <v>51</v>
      </c>
      <c r="B52" t="s">
        <v>13</v>
      </c>
      <c r="C52">
        <v>32</v>
      </c>
      <c r="D52" t="s">
        <v>34</v>
      </c>
      <c r="E52">
        <v>7.5</v>
      </c>
      <c r="F52">
        <v>8</v>
      </c>
      <c r="G52">
        <v>45</v>
      </c>
      <c r="H52">
        <v>3</v>
      </c>
      <c r="I52" t="s">
        <v>19</v>
      </c>
      <c r="J52" t="s">
        <v>27</v>
      </c>
      <c r="K52">
        <v>70</v>
      </c>
      <c r="L52">
        <v>8000</v>
      </c>
      <c r="M52" t="s">
        <v>17</v>
      </c>
    </row>
    <row r="53" spans="1:13" x14ac:dyDescent="0.3">
      <c r="A53">
        <v>52</v>
      </c>
      <c r="B53" t="s">
        <v>13</v>
      </c>
      <c r="C53">
        <v>32</v>
      </c>
      <c r="D53" t="s">
        <v>34</v>
      </c>
      <c r="E53">
        <v>7.5</v>
      </c>
      <c r="F53">
        <v>8</v>
      </c>
      <c r="G53">
        <v>45</v>
      </c>
      <c r="H53">
        <v>3</v>
      </c>
      <c r="I53" t="s">
        <v>19</v>
      </c>
      <c r="J53" t="s">
        <v>27</v>
      </c>
      <c r="K53">
        <v>70</v>
      </c>
      <c r="L53">
        <v>8000</v>
      </c>
      <c r="M53" t="s">
        <v>17</v>
      </c>
    </row>
    <row r="54" spans="1:13" x14ac:dyDescent="0.3">
      <c r="A54">
        <v>53</v>
      </c>
      <c r="B54" t="s">
        <v>13</v>
      </c>
      <c r="C54">
        <v>32</v>
      </c>
      <c r="D54" t="s">
        <v>18</v>
      </c>
      <c r="E54">
        <v>6</v>
      </c>
      <c r="F54">
        <v>6</v>
      </c>
      <c r="G54">
        <v>30</v>
      </c>
      <c r="H54">
        <v>8</v>
      </c>
      <c r="I54" t="s">
        <v>19</v>
      </c>
      <c r="J54" t="s">
        <v>20</v>
      </c>
      <c r="K54">
        <v>72</v>
      </c>
      <c r="L54">
        <v>5000</v>
      </c>
      <c r="M54" t="s">
        <v>17</v>
      </c>
    </row>
    <row r="55" spans="1:13" x14ac:dyDescent="0.3">
      <c r="A55">
        <v>54</v>
      </c>
      <c r="B55" t="s">
        <v>13</v>
      </c>
      <c r="C55">
        <v>32</v>
      </c>
      <c r="D55" t="s">
        <v>18</v>
      </c>
      <c r="E55">
        <v>7.6</v>
      </c>
      <c r="F55">
        <v>7</v>
      </c>
      <c r="G55">
        <v>75</v>
      </c>
      <c r="H55">
        <v>6</v>
      </c>
      <c r="I55" t="s">
        <v>19</v>
      </c>
      <c r="J55" t="s">
        <v>27</v>
      </c>
      <c r="K55">
        <v>70</v>
      </c>
      <c r="L55">
        <v>8000</v>
      </c>
      <c r="M55" t="s">
        <v>17</v>
      </c>
    </row>
    <row r="56" spans="1:13" x14ac:dyDescent="0.3">
      <c r="A56">
        <v>55</v>
      </c>
      <c r="B56" t="s">
        <v>13</v>
      </c>
      <c r="C56">
        <v>32</v>
      </c>
      <c r="D56" t="s">
        <v>18</v>
      </c>
      <c r="E56">
        <v>6</v>
      </c>
      <c r="F56">
        <v>6</v>
      </c>
      <c r="G56">
        <v>30</v>
      </c>
      <c r="H56">
        <v>8</v>
      </c>
      <c r="I56" t="s">
        <v>19</v>
      </c>
      <c r="J56" t="s">
        <v>20</v>
      </c>
      <c r="K56">
        <v>72</v>
      </c>
      <c r="L56">
        <v>5000</v>
      </c>
      <c r="M56" t="s">
        <v>17</v>
      </c>
    </row>
    <row r="57" spans="1:13" x14ac:dyDescent="0.3">
      <c r="A57">
        <v>56</v>
      </c>
      <c r="B57" t="s">
        <v>13</v>
      </c>
      <c r="C57">
        <v>32</v>
      </c>
      <c r="D57" t="s">
        <v>18</v>
      </c>
      <c r="E57">
        <v>6</v>
      </c>
      <c r="F57">
        <v>6</v>
      </c>
      <c r="G57">
        <v>30</v>
      </c>
      <c r="H57">
        <v>8</v>
      </c>
      <c r="I57" t="s">
        <v>19</v>
      </c>
      <c r="J57" t="s">
        <v>20</v>
      </c>
      <c r="K57">
        <v>72</v>
      </c>
      <c r="L57">
        <v>5000</v>
      </c>
      <c r="M57" t="s">
        <v>17</v>
      </c>
    </row>
    <row r="58" spans="1:13" x14ac:dyDescent="0.3">
      <c r="A58">
        <v>57</v>
      </c>
      <c r="B58" t="s">
        <v>13</v>
      </c>
      <c r="C58">
        <v>32</v>
      </c>
      <c r="D58" t="s">
        <v>18</v>
      </c>
      <c r="E58">
        <v>7.7</v>
      </c>
      <c r="F58">
        <v>7</v>
      </c>
      <c r="G58">
        <v>75</v>
      </c>
      <c r="H58">
        <v>6</v>
      </c>
      <c r="I58" t="s">
        <v>19</v>
      </c>
      <c r="J58" t="s">
        <v>27</v>
      </c>
      <c r="K58">
        <v>70</v>
      </c>
      <c r="L58">
        <v>8000</v>
      </c>
      <c r="M58" t="s">
        <v>17</v>
      </c>
    </row>
    <row r="59" spans="1:13" x14ac:dyDescent="0.3">
      <c r="A59">
        <v>58</v>
      </c>
      <c r="B59" t="s">
        <v>13</v>
      </c>
      <c r="C59">
        <v>32</v>
      </c>
      <c r="D59" t="s">
        <v>18</v>
      </c>
      <c r="E59">
        <v>6</v>
      </c>
      <c r="F59">
        <v>6</v>
      </c>
      <c r="G59">
        <v>30</v>
      </c>
      <c r="H59">
        <v>8</v>
      </c>
      <c r="I59" t="s">
        <v>19</v>
      </c>
      <c r="J59" t="s">
        <v>20</v>
      </c>
      <c r="K59">
        <v>72</v>
      </c>
      <c r="L59">
        <v>5000</v>
      </c>
      <c r="M59" t="s">
        <v>17</v>
      </c>
    </row>
    <row r="60" spans="1:13" x14ac:dyDescent="0.3">
      <c r="A60">
        <v>59</v>
      </c>
      <c r="B60" t="s">
        <v>13</v>
      </c>
      <c r="C60">
        <v>32</v>
      </c>
      <c r="D60" t="s">
        <v>18</v>
      </c>
      <c r="E60">
        <v>6</v>
      </c>
      <c r="F60">
        <v>6</v>
      </c>
      <c r="G60">
        <v>30</v>
      </c>
      <c r="H60">
        <v>8</v>
      </c>
      <c r="I60" t="s">
        <v>19</v>
      </c>
      <c r="J60" t="s">
        <v>20</v>
      </c>
      <c r="K60">
        <v>72</v>
      </c>
      <c r="L60">
        <v>5000</v>
      </c>
      <c r="M60" t="s">
        <v>17</v>
      </c>
    </row>
    <row r="61" spans="1:13" x14ac:dyDescent="0.3">
      <c r="A61">
        <v>60</v>
      </c>
      <c r="B61" t="s">
        <v>13</v>
      </c>
      <c r="C61">
        <v>32</v>
      </c>
      <c r="D61" t="s">
        <v>18</v>
      </c>
      <c r="E61">
        <v>7.7</v>
      </c>
      <c r="F61">
        <v>7</v>
      </c>
      <c r="G61">
        <v>75</v>
      </c>
      <c r="H61">
        <v>6</v>
      </c>
      <c r="I61" t="s">
        <v>19</v>
      </c>
      <c r="J61" t="s">
        <v>27</v>
      </c>
      <c r="K61">
        <v>70</v>
      </c>
      <c r="L61">
        <v>8000</v>
      </c>
      <c r="M61" t="s">
        <v>17</v>
      </c>
    </row>
    <row r="62" spans="1:13" x14ac:dyDescent="0.3">
      <c r="A62">
        <v>61</v>
      </c>
      <c r="B62" t="s">
        <v>13</v>
      </c>
      <c r="C62">
        <v>32</v>
      </c>
      <c r="D62" t="s">
        <v>18</v>
      </c>
      <c r="E62">
        <v>6</v>
      </c>
      <c r="F62">
        <v>6</v>
      </c>
      <c r="G62">
        <v>30</v>
      </c>
      <c r="H62">
        <v>8</v>
      </c>
      <c r="I62" t="s">
        <v>19</v>
      </c>
      <c r="J62" t="s">
        <v>20</v>
      </c>
      <c r="K62">
        <v>72</v>
      </c>
      <c r="L62">
        <v>5000</v>
      </c>
      <c r="M62" t="s">
        <v>17</v>
      </c>
    </row>
    <row r="63" spans="1:13" x14ac:dyDescent="0.3">
      <c r="A63">
        <v>62</v>
      </c>
      <c r="B63" t="s">
        <v>13</v>
      </c>
      <c r="C63">
        <v>32</v>
      </c>
      <c r="D63" t="s">
        <v>18</v>
      </c>
      <c r="E63">
        <v>6</v>
      </c>
      <c r="F63">
        <v>6</v>
      </c>
      <c r="G63">
        <v>30</v>
      </c>
      <c r="H63">
        <v>8</v>
      </c>
      <c r="I63" t="s">
        <v>19</v>
      </c>
      <c r="J63" t="s">
        <v>20</v>
      </c>
      <c r="K63">
        <v>72</v>
      </c>
      <c r="L63">
        <v>5000</v>
      </c>
      <c r="M63" t="s">
        <v>17</v>
      </c>
    </row>
    <row r="64" spans="1:13" x14ac:dyDescent="0.3">
      <c r="A64">
        <v>63</v>
      </c>
      <c r="B64" t="s">
        <v>13</v>
      </c>
      <c r="C64">
        <v>32</v>
      </c>
      <c r="D64" t="s">
        <v>18</v>
      </c>
      <c r="E64">
        <v>6.2</v>
      </c>
      <c r="F64">
        <v>6</v>
      </c>
      <c r="G64">
        <v>30</v>
      </c>
      <c r="H64">
        <v>8</v>
      </c>
      <c r="I64" t="s">
        <v>19</v>
      </c>
      <c r="J64" t="s">
        <v>20</v>
      </c>
      <c r="K64">
        <v>72</v>
      </c>
      <c r="L64">
        <v>5000</v>
      </c>
      <c r="M64" t="s">
        <v>17</v>
      </c>
    </row>
    <row r="65" spans="1:13" x14ac:dyDescent="0.3">
      <c r="A65">
        <v>64</v>
      </c>
      <c r="B65" t="s">
        <v>13</v>
      </c>
      <c r="C65">
        <v>32</v>
      </c>
      <c r="D65" t="s">
        <v>18</v>
      </c>
      <c r="E65">
        <v>6.2</v>
      </c>
      <c r="F65">
        <v>6</v>
      </c>
      <c r="G65">
        <v>30</v>
      </c>
      <c r="H65">
        <v>8</v>
      </c>
      <c r="I65" t="s">
        <v>19</v>
      </c>
      <c r="J65" t="s">
        <v>20</v>
      </c>
      <c r="K65">
        <v>72</v>
      </c>
      <c r="L65">
        <v>5000</v>
      </c>
      <c r="M65" t="s">
        <v>17</v>
      </c>
    </row>
    <row r="66" spans="1:13" x14ac:dyDescent="0.3">
      <c r="A66">
        <v>65</v>
      </c>
      <c r="B66" t="s">
        <v>13</v>
      </c>
      <c r="C66">
        <v>32</v>
      </c>
      <c r="D66" t="s">
        <v>18</v>
      </c>
      <c r="E66">
        <v>6.2</v>
      </c>
      <c r="F66">
        <v>6</v>
      </c>
      <c r="G66">
        <v>30</v>
      </c>
      <c r="H66">
        <v>8</v>
      </c>
      <c r="I66" t="s">
        <v>19</v>
      </c>
      <c r="J66" t="s">
        <v>20</v>
      </c>
      <c r="K66">
        <v>72</v>
      </c>
      <c r="L66">
        <v>5000</v>
      </c>
      <c r="M66" t="s">
        <v>17</v>
      </c>
    </row>
    <row r="67" spans="1:13" x14ac:dyDescent="0.3">
      <c r="A67">
        <v>66</v>
      </c>
      <c r="B67" t="s">
        <v>13</v>
      </c>
      <c r="C67">
        <v>32</v>
      </c>
      <c r="D67" t="s">
        <v>18</v>
      </c>
      <c r="E67">
        <v>6.2</v>
      </c>
      <c r="F67">
        <v>6</v>
      </c>
      <c r="G67">
        <v>30</v>
      </c>
      <c r="H67">
        <v>8</v>
      </c>
      <c r="I67" t="s">
        <v>19</v>
      </c>
      <c r="J67" t="s">
        <v>20</v>
      </c>
      <c r="K67">
        <v>72</v>
      </c>
      <c r="L67">
        <v>5000</v>
      </c>
      <c r="M67" t="s">
        <v>17</v>
      </c>
    </row>
    <row r="68" spans="1:13" x14ac:dyDescent="0.3">
      <c r="A68">
        <v>67</v>
      </c>
      <c r="B68" t="s">
        <v>13</v>
      </c>
      <c r="C68">
        <v>32</v>
      </c>
      <c r="D68" t="s">
        <v>35</v>
      </c>
      <c r="E68">
        <v>7.2</v>
      </c>
      <c r="F68">
        <v>8</v>
      </c>
      <c r="G68">
        <v>50</v>
      </c>
      <c r="H68">
        <v>6</v>
      </c>
      <c r="I68" t="s">
        <v>30</v>
      </c>
      <c r="J68" t="s">
        <v>36</v>
      </c>
      <c r="K68">
        <v>68</v>
      </c>
      <c r="L68">
        <v>7000</v>
      </c>
      <c r="M68" t="s">
        <v>17</v>
      </c>
    </row>
    <row r="69" spans="1:13" x14ac:dyDescent="0.3">
      <c r="A69">
        <v>68</v>
      </c>
      <c r="B69" t="s">
        <v>13</v>
      </c>
      <c r="C69">
        <v>33</v>
      </c>
      <c r="D69" t="s">
        <v>18</v>
      </c>
      <c r="E69">
        <v>6</v>
      </c>
      <c r="F69">
        <v>6</v>
      </c>
      <c r="G69">
        <v>30</v>
      </c>
      <c r="H69">
        <v>8</v>
      </c>
      <c r="I69" t="s">
        <v>19</v>
      </c>
      <c r="J69" t="s">
        <v>20</v>
      </c>
      <c r="K69">
        <v>72</v>
      </c>
      <c r="L69">
        <v>5000</v>
      </c>
      <c r="M69" t="s">
        <v>25</v>
      </c>
    </row>
    <row r="70" spans="1:13" x14ac:dyDescent="0.3">
      <c r="A70">
        <v>69</v>
      </c>
      <c r="B70" t="s">
        <v>28</v>
      </c>
      <c r="C70">
        <v>33</v>
      </c>
      <c r="D70" t="s">
        <v>37</v>
      </c>
      <c r="E70">
        <v>6.2</v>
      </c>
      <c r="F70">
        <v>6</v>
      </c>
      <c r="G70">
        <v>50</v>
      </c>
      <c r="H70">
        <v>6</v>
      </c>
      <c r="I70" t="s">
        <v>15</v>
      </c>
      <c r="J70" t="s">
        <v>38</v>
      </c>
      <c r="K70">
        <v>76</v>
      </c>
      <c r="L70">
        <v>5500</v>
      </c>
      <c r="M70" t="s">
        <v>17</v>
      </c>
    </row>
    <row r="71" spans="1:13" x14ac:dyDescent="0.3">
      <c r="A71">
        <v>70</v>
      </c>
      <c r="B71" t="s">
        <v>28</v>
      </c>
      <c r="C71">
        <v>33</v>
      </c>
      <c r="D71" t="s">
        <v>37</v>
      </c>
      <c r="E71">
        <v>6.2</v>
      </c>
      <c r="F71">
        <v>6</v>
      </c>
      <c r="G71">
        <v>50</v>
      </c>
      <c r="H71">
        <v>6</v>
      </c>
      <c r="I71" t="s">
        <v>15</v>
      </c>
      <c r="J71" t="s">
        <v>38</v>
      </c>
      <c r="K71">
        <v>76</v>
      </c>
      <c r="L71">
        <v>5500</v>
      </c>
      <c r="M71" t="s">
        <v>17</v>
      </c>
    </row>
    <row r="72" spans="1:13" x14ac:dyDescent="0.3">
      <c r="A72">
        <v>71</v>
      </c>
      <c r="B72" t="s">
        <v>13</v>
      </c>
      <c r="C72">
        <v>33</v>
      </c>
      <c r="D72" t="s">
        <v>18</v>
      </c>
      <c r="E72">
        <v>6.1</v>
      </c>
      <c r="F72">
        <v>6</v>
      </c>
      <c r="G72">
        <v>30</v>
      </c>
      <c r="H72">
        <v>8</v>
      </c>
      <c r="I72" t="s">
        <v>19</v>
      </c>
      <c r="J72" t="s">
        <v>20</v>
      </c>
      <c r="K72">
        <v>72</v>
      </c>
      <c r="L72">
        <v>5000</v>
      </c>
      <c r="M72" t="s">
        <v>17</v>
      </c>
    </row>
    <row r="73" spans="1:13" x14ac:dyDescent="0.3">
      <c r="A73">
        <v>72</v>
      </c>
      <c r="B73" t="s">
        <v>13</v>
      </c>
      <c r="C73">
        <v>33</v>
      </c>
      <c r="D73" t="s">
        <v>18</v>
      </c>
      <c r="E73">
        <v>6.1</v>
      </c>
      <c r="F73">
        <v>6</v>
      </c>
      <c r="G73">
        <v>30</v>
      </c>
      <c r="H73">
        <v>8</v>
      </c>
      <c r="I73" t="s">
        <v>19</v>
      </c>
      <c r="J73" t="s">
        <v>20</v>
      </c>
      <c r="K73">
        <v>72</v>
      </c>
      <c r="L73">
        <v>5000</v>
      </c>
      <c r="M73" t="s">
        <v>17</v>
      </c>
    </row>
    <row r="74" spans="1:13" x14ac:dyDescent="0.3">
      <c r="A74">
        <v>73</v>
      </c>
      <c r="B74" t="s">
        <v>13</v>
      </c>
      <c r="C74">
        <v>33</v>
      </c>
      <c r="D74" t="s">
        <v>18</v>
      </c>
      <c r="E74">
        <v>6.1</v>
      </c>
      <c r="F74">
        <v>6</v>
      </c>
      <c r="G74">
        <v>30</v>
      </c>
      <c r="H74">
        <v>8</v>
      </c>
      <c r="I74" t="s">
        <v>19</v>
      </c>
      <c r="J74" t="s">
        <v>20</v>
      </c>
      <c r="K74">
        <v>72</v>
      </c>
      <c r="L74">
        <v>5000</v>
      </c>
      <c r="M74" t="s">
        <v>17</v>
      </c>
    </row>
    <row r="75" spans="1:13" x14ac:dyDescent="0.3">
      <c r="A75">
        <v>74</v>
      </c>
      <c r="B75" t="s">
        <v>13</v>
      </c>
      <c r="C75">
        <v>33</v>
      </c>
      <c r="D75" t="s">
        <v>18</v>
      </c>
      <c r="E75">
        <v>6.1</v>
      </c>
      <c r="F75">
        <v>6</v>
      </c>
      <c r="G75">
        <v>30</v>
      </c>
      <c r="H75">
        <v>8</v>
      </c>
      <c r="I75" t="s">
        <v>19</v>
      </c>
      <c r="J75" t="s">
        <v>20</v>
      </c>
      <c r="K75">
        <v>72</v>
      </c>
      <c r="L75">
        <v>5000</v>
      </c>
      <c r="M75" t="s">
        <v>17</v>
      </c>
    </row>
    <row r="76" spans="1:13" x14ac:dyDescent="0.3">
      <c r="A76">
        <v>75</v>
      </c>
      <c r="B76" t="s">
        <v>13</v>
      </c>
      <c r="C76">
        <v>33</v>
      </c>
      <c r="D76" t="s">
        <v>18</v>
      </c>
      <c r="E76">
        <v>6</v>
      </c>
      <c r="F76">
        <v>6</v>
      </c>
      <c r="G76">
        <v>30</v>
      </c>
      <c r="H76">
        <v>8</v>
      </c>
      <c r="I76" t="s">
        <v>19</v>
      </c>
      <c r="J76" t="s">
        <v>20</v>
      </c>
      <c r="K76">
        <v>72</v>
      </c>
      <c r="L76">
        <v>5000</v>
      </c>
      <c r="M76" t="s">
        <v>17</v>
      </c>
    </row>
    <row r="77" spans="1:13" x14ac:dyDescent="0.3">
      <c r="A77">
        <v>76</v>
      </c>
      <c r="B77" t="s">
        <v>13</v>
      </c>
      <c r="C77">
        <v>33</v>
      </c>
      <c r="D77" t="s">
        <v>18</v>
      </c>
      <c r="E77">
        <v>6</v>
      </c>
      <c r="F77">
        <v>6</v>
      </c>
      <c r="G77">
        <v>30</v>
      </c>
      <c r="H77">
        <v>8</v>
      </c>
      <c r="I77" t="s">
        <v>19</v>
      </c>
      <c r="J77" t="s">
        <v>20</v>
      </c>
      <c r="K77">
        <v>72</v>
      </c>
      <c r="L77">
        <v>5000</v>
      </c>
      <c r="M77" t="s">
        <v>17</v>
      </c>
    </row>
    <row r="78" spans="1:13" x14ac:dyDescent="0.3">
      <c r="A78">
        <v>77</v>
      </c>
      <c r="B78" t="s">
        <v>13</v>
      </c>
      <c r="C78">
        <v>33</v>
      </c>
      <c r="D78" t="s">
        <v>18</v>
      </c>
      <c r="E78">
        <v>6</v>
      </c>
      <c r="F78">
        <v>6</v>
      </c>
      <c r="G78">
        <v>30</v>
      </c>
      <c r="H78">
        <v>8</v>
      </c>
      <c r="I78" t="s">
        <v>19</v>
      </c>
      <c r="J78" t="s">
        <v>20</v>
      </c>
      <c r="K78">
        <v>72</v>
      </c>
      <c r="L78">
        <v>5000</v>
      </c>
      <c r="M78" t="s">
        <v>17</v>
      </c>
    </row>
    <row r="79" spans="1:13" x14ac:dyDescent="0.3">
      <c r="A79">
        <v>78</v>
      </c>
      <c r="B79" t="s">
        <v>13</v>
      </c>
      <c r="C79">
        <v>33</v>
      </c>
      <c r="D79" t="s">
        <v>18</v>
      </c>
      <c r="E79">
        <v>6</v>
      </c>
      <c r="F79">
        <v>6</v>
      </c>
      <c r="G79">
        <v>30</v>
      </c>
      <c r="H79">
        <v>8</v>
      </c>
      <c r="I79" t="s">
        <v>19</v>
      </c>
      <c r="J79" t="s">
        <v>20</v>
      </c>
      <c r="K79">
        <v>72</v>
      </c>
      <c r="L79">
        <v>5000</v>
      </c>
      <c r="M79" t="s">
        <v>17</v>
      </c>
    </row>
    <row r="80" spans="1:13" x14ac:dyDescent="0.3">
      <c r="A80">
        <v>79</v>
      </c>
      <c r="B80" t="s">
        <v>13</v>
      </c>
      <c r="C80">
        <v>33</v>
      </c>
      <c r="D80" t="s">
        <v>18</v>
      </c>
      <c r="E80">
        <v>6</v>
      </c>
      <c r="F80">
        <v>6</v>
      </c>
      <c r="G80">
        <v>30</v>
      </c>
      <c r="H80">
        <v>8</v>
      </c>
      <c r="I80" t="s">
        <v>19</v>
      </c>
      <c r="J80" t="s">
        <v>20</v>
      </c>
      <c r="K80">
        <v>72</v>
      </c>
      <c r="L80">
        <v>5000</v>
      </c>
      <c r="M80" t="s">
        <v>17</v>
      </c>
    </row>
    <row r="81" spans="1:13" x14ac:dyDescent="0.3">
      <c r="A81">
        <v>80</v>
      </c>
      <c r="B81" t="s">
        <v>13</v>
      </c>
      <c r="C81">
        <v>33</v>
      </c>
      <c r="D81" t="s">
        <v>18</v>
      </c>
      <c r="E81">
        <v>6</v>
      </c>
      <c r="F81">
        <v>6</v>
      </c>
      <c r="G81">
        <v>30</v>
      </c>
      <c r="H81">
        <v>8</v>
      </c>
      <c r="I81" t="s">
        <v>19</v>
      </c>
      <c r="J81" t="s">
        <v>20</v>
      </c>
      <c r="K81">
        <v>72</v>
      </c>
      <c r="L81">
        <v>5000</v>
      </c>
      <c r="M81" t="s">
        <v>17</v>
      </c>
    </row>
    <row r="82" spans="1:13" x14ac:dyDescent="0.3">
      <c r="A82">
        <v>81</v>
      </c>
      <c r="B82" t="s">
        <v>28</v>
      </c>
      <c r="C82">
        <v>34</v>
      </c>
      <c r="D82" t="s">
        <v>37</v>
      </c>
      <c r="E82">
        <v>5.8</v>
      </c>
      <c r="F82">
        <v>4</v>
      </c>
      <c r="G82">
        <v>32</v>
      </c>
      <c r="H82">
        <v>8</v>
      </c>
      <c r="I82" t="s">
        <v>15</v>
      </c>
      <c r="J82" t="s">
        <v>39</v>
      </c>
      <c r="K82">
        <v>81</v>
      </c>
      <c r="L82">
        <v>5200</v>
      </c>
      <c r="M82" t="s">
        <v>24</v>
      </c>
    </row>
    <row r="83" spans="1:13" x14ac:dyDescent="0.3">
      <c r="A83">
        <v>82</v>
      </c>
      <c r="B83" t="s">
        <v>28</v>
      </c>
      <c r="C83">
        <v>34</v>
      </c>
      <c r="D83" t="s">
        <v>37</v>
      </c>
      <c r="E83">
        <v>5.8</v>
      </c>
      <c r="F83">
        <v>4</v>
      </c>
      <c r="G83">
        <v>32</v>
      </c>
      <c r="H83">
        <v>8</v>
      </c>
      <c r="I83" t="s">
        <v>15</v>
      </c>
      <c r="J83" t="s">
        <v>39</v>
      </c>
      <c r="K83">
        <v>81</v>
      </c>
      <c r="L83">
        <v>5200</v>
      </c>
      <c r="M83" t="s">
        <v>24</v>
      </c>
    </row>
    <row r="84" spans="1:13" x14ac:dyDescent="0.3">
      <c r="A84">
        <v>83</v>
      </c>
      <c r="B84" t="s">
        <v>13</v>
      </c>
      <c r="C84">
        <v>35</v>
      </c>
      <c r="D84" t="s">
        <v>26</v>
      </c>
      <c r="E84">
        <v>6.7</v>
      </c>
      <c r="F84">
        <v>7</v>
      </c>
      <c r="G84">
        <v>40</v>
      </c>
      <c r="H84">
        <v>5</v>
      </c>
      <c r="I84" t="s">
        <v>15</v>
      </c>
      <c r="J84" t="s">
        <v>40</v>
      </c>
      <c r="K84">
        <v>70</v>
      </c>
      <c r="L84">
        <v>5600</v>
      </c>
      <c r="M84" t="s">
        <v>17</v>
      </c>
    </row>
    <row r="85" spans="1:13" x14ac:dyDescent="0.3">
      <c r="A85">
        <v>84</v>
      </c>
      <c r="B85" t="s">
        <v>13</v>
      </c>
      <c r="C85">
        <v>35</v>
      </c>
      <c r="D85" t="s">
        <v>26</v>
      </c>
      <c r="E85">
        <v>6.7</v>
      </c>
      <c r="F85">
        <v>7</v>
      </c>
      <c r="G85">
        <v>40</v>
      </c>
      <c r="H85">
        <v>5</v>
      </c>
      <c r="I85" t="s">
        <v>15</v>
      </c>
      <c r="J85" t="s">
        <v>40</v>
      </c>
      <c r="K85">
        <v>70</v>
      </c>
      <c r="L85">
        <v>5600</v>
      </c>
      <c r="M85" t="s">
        <v>17</v>
      </c>
    </row>
    <row r="86" spans="1:13" x14ac:dyDescent="0.3">
      <c r="A86">
        <v>85</v>
      </c>
      <c r="B86" t="s">
        <v>13</v>
      </c>
      <c r="C86">
        <v>35</v>
      </c>
      <c r="D86" t="s">
        <v>14</v>
      </c>
      <c r="E86">
        <v>7.5</v>
      </c>
      <c r="F86">
        <v>8</v>
      </c>
      <c r="G86">
        <v>60</v>
      </c>
      <c r="H86">
        <v>5</v>
      </c>
      <c r="I86" t="s">
        <v>30</v>
      </c>
      <c r="J86" t="s">
        <v>27</v>
      </c>
      <c r="K86">
        <v>70</v>
      </c>
      <c r="L86">
        <v>8000</v>
      </c>
      <c r="M86" t="s">
        <v>17</v>
      </c>
    </row>
    <row r="87" spans="1:13" x14ac:dyDescent="0.3">
      <c r="A87">
        <v>86</v>
      </c>
      <c r="B87" t="s">
        <v>28</v>
      </c>
      <c r="C87">
        <v>35</v>
      </c>
      <c r="D87" t="s">
        <v>35</v>
      </c>
      <c r="E87">
        <v>7.2</v>
      </c>
      <c r="F87">
        <v>8</v>
      </c>
      <c r="G87">
        <v>60</v>
      </c>
      <c r="H87">
        <v>4</v>
      </c>
      <c r="I87" t="s">
        <v>19</v>
      </c>
      <c r="J87" t="s">
        <v>41</v>
      </c>
      <c r="K87">
        <v>68</v>
      </c>
      <c r="L87">
        <v>7000</v>
      </c>
      <c r="M87" t="s">
        <v>17</v>
      </c>
    </row>
    <row r="88" spans="1:13" x14ac:dyDescent="0.3">
      <c r="A88">
        <v>87</v>
      </c>
      <c r="B88" t="s">
        <v>13</v>
      </c>
      <c r="C88">
        <v>35</v>
      </c>
      <c r="D88" t="s">
        <v>34</v>
      </c>
      <c r="E88">
        <v>7.2</v>
      </c>
      <c r="F88">
        <v>8</v>
      </c>
      <c r="G88">
        <v>60</v>
      </c>
      <c r="H88">
        <v>4</v>
      </c>
      <c r="I88" t="s">
        <v>19</v>
      </c>
      <c r="J88" t="s">
        <v>20</v>
      </c>
      <c r="K88">
        <v>65</v>
      </c>
      <c r="L88">
        <v>5000</v>
      </c>
      <c r="M88" t="s">
        <v>17</v>
      </c>
    </row>
    <row r="89" spans="1:13" x14ac:dyDescent="0.3">
      <c r="A89">
        <v>88</v>
      </c>
      <c r="B89" t="s">
        <v>13</v>
      </c>
      <c r="C89">
        <v>35</v>
      </c>
      <c r="D89" t="s">
        <v>34</v>
      </c>
      <c r="E89">
        <v>7.2</v>
      </c>
      <c r="F89">
        <v>8</v>
      </c>
      <c r="G89">
        <v>60</v>
      </c>
      <c r="H89">
        <v>4</v>
      </c>
      <c r="I89" t="s">
        <v>19</v>
      </c>
      <c r="J89" t="s">
        <v>20</v>
      </c>
      <c r="K89">
        <v>65</v>
      </c>
      <c r="L89">
        <v>5000</v>
      </c>
      <c r="M89" t="s">
        <v>17</v>
      </c>
    </row>
    <row r="90" spans="1:13" x14ac:dyDescent="0.3">
      <c r="A90">
        <v>89</v>
      </c>
      <c r="B90" t="s">
        <v>13</v>
      </c>
      <c r="C90">
        <v>35</v>
      </c>
      <c r="D90" t="s">
        <v>34</v>
      </c>
      <c r="E90">
        <v>7.3</v>
      </c>
      <c r="F90">
        <v>8</v>
      </c>
      <c r="G90">
        <v>60</v>
      </c>
      <c r="H90">
        <v>4</v>
      </c>
      <c r="I90" t="s">
        <v>19</v>
      </c>
      <c r="J90" t="s">
        <v>20</v>
      </c>
      <c r="K90">
        <v>65</v>
      </c>
      <c r="L90">
        <v>5000</v>
      </c>
      <c r="M90" t="s">
        <v>17</v>
      </c>
    </row>
    <row r="91" spans="1:13" x14ac:dyDescent="0.3">
      <c r="A91">
        <v>90</v>
      </c>
      <c r="B91" t="s">
        <v>13</v>
      </c>
      <c r="C91">
        <v>35</v>
      </c>
      <c r="D91" t="s">
        <v>34</v>
      </c>
      <c r="E91">
        <v>7.3</v>
      </c>
      <c r="F91">
        <v>8</v>
      </c>
      <c r="G91">
        <v>60</v>
      </c>
      <c r="H91">
        <v>4</v>
      </c>
      <c r="I91" t="s">
        <v>19</v>
      </c>
      <c r="J91" t="s">
        <v>20</v>
      </c>
      <c r="K91">
        <v>65</v>
      </c>
      <c r="L91">
        <v>5000</v>
      </c>
      <c r="M91" t="s">
        <v>17</v>
      </c>
    </row>
    <row r="92" spans="1:13" x14ac:dyDescent="0.3">
      <c r="A92">
        <v>91</v>
      </c>
      <c r="B92" t="s">
        <v>13</v>
      </c>
      <c r="C92">
        <v>35</v>
      </c>
      <c r="D92" t="s">
        <v>34</v>
      </c>
      <c r="E92">
        <v>7.3</v>
      </c>
      <c r="F92">
        <v>8</v>
      </c>
      <c r="G92">
        <v>60</v>
      </c>
      <c r="H92">
        <v>4</v>
      </c>
      <c r="I92" t="s">
        <v>19</v>
      </c>
      <c r="J92" t="s">
        <v>20</v>
      </c>
      <c r="K92">
        <v>65</v>
      </c>
      <c r="L92">
        <v>5000</v>
      </c>
      <c r="M92" t="s">
        <v>17</v>
      </c>
    </row>
    <row r="93" spans="1:13" x14ac:dyDescent="0.3">
      <c r="A93">
        <v>92</v>
      </c>
      <c r="B93" t="s">
        <v>13</v>
      </c>
      <c r="C93">
        <v>35</v>
      </c>
      <c r="D93" t="s">
        <v>34</v>
      </c>
      <c r="E93">
        <v>7.3</v>
      </c>
      <c r="F93">
        <v>8</v>
      </c>
      <c r="G93">
        <v>60</v>
      </c>
      <c r="H93">
        <v>4</v>
      </c>
      <c r="I93" t="s">
        <v>19</v>
      </c>
      <c r="J93" t="s">
        <v>20</v>
      </c>
      <c r="K93">
        <v>65</v>
      </c>
      <c r="L93">
        <v>5000</v>
      </c>
      <c r="M93" t="s">
        <v>17</v>
      </c>
    </row>
    <row r="94" spans="1:13" x14ac:dyDescent="0.3">
      <c r="A94">
        <v>93</v>
      </c>
      <c r="B94" t="s">
        <v>13</v>
      </c>
      <c r="C94">
        <v>35</v>
      </c>
      <c r="D94" t="s">
        <v>14</v>
      </c>
      <c r="E94">
        <v>7.5</v>
      </c>
      <c r="F94">
        <v>8</v>
      </c>
      <c r="G94">
        <v>60</v>
      </c>
      <c r="H94">
        <v>5</v>
      </c>
      <c r="I94" t="s">
        <v>30</v>
      </c>
      <c r="J94" t="s">
        <v>27</v>
      </c>
      <c r="K94">
        <v>70</v>
      </c>
      <c r="L94">
        <v>8000</v>
      </c>
      <c r="M94" t="s">
        <v>17</v>
      </c>
    </row>
    <row r="95" spans="1:13" x14ac:dyDescent="0.3">
      <c r="A95">
        <v>94</v>
      </c>
      <c r="B95" t="s">
        <v>13</v>
      </c>
      <c r="C95">
        <v>35</v>
      </c>
      <c r="D95" t="s">
        <v>42</v>
      </c>
      <c r="E95">
        <v>7.4</v>
      </c>
      <c r="F95">
        <v>7</v>
      </c>
      <c r="G95">
        <v>60</v>
      </c>
      <c r="H95">
        <v>5</v>
      </c>
      <c r="I95" t="s">
        <v>22</v>
      </c>
      <c r="J95" t="s">
        <v>43</v>
      </c>
      <c r="K95">
        <v>84</v>
      </c>
      <c r="L95">
        <v>3300</v>
      </c>
      <c r="M95" t="s">
        <v>24</v>
      </c>
    </row>
    <row r="96" spans="1:13" x14ac:dyDescent="0.3">
      <c r="A96">
        <v>95</v>
      </c>
      <c r="B96" t="s">
        <v>28</v>
      </c>
      <c r="C96">
        <v>36</v>
      </c>
      <c r="D96" t="s">
        <v>35</v>
      </c>
      <c r="E96">
        <v>7.2</v>
      </c>
      <c r="F96">
        <v>8</v>
      </c>
      <c r="G96">
        <v>60</v>
      </c>
      <c r="H96">
        <v>4</v>
      </c>
      <c r="I96" t="s">
        <v>19</v>
      </c>
      <c r="J96" t="s">
        <v>41</v>
      </c>
      <c r="K96">
        <v>68</v>
      </c>
      <c r="L96">
        <v>7000</v>
      </c>
      <c r="M96" t="s">
        <v>25</v>
      </c>
    </row>
    <row r="97" spans="1:13" x14ac:dyDescent="0.3">
      <c r="A97">
        <v>96</v>
      </c>
      <c r="B97" t="s">
        <v>28</v>
      </c>
      <c r="C97">
        <v>36</v>
      </c>
      <c r="D97" t="s">
        <v>35</v>
      </c>
      <c r="E97">
        <v>7.1</v>
      </c>
      <c r="F97">
        <v>8</v>
      </c>
      <c r="G97">
        <v>60</v>
      </c>
      <c r="H97">
        <v>4</v>
      </c>
      <c r="I97" t="s">
        <v>19</v>
      </c>
      <c r="J97" t="s">
        <v>41</v>
      </c>
      <c r="K97">
        <v>68</v>
      </c>
      <c r="L97">
        <v>7000</v>
      </c>
      <c r="M97" t="s">
        <v>17</v>
      </c>
    </row>
    <row r="98" spans="1:13" x14ac:dyDescent="0.3">
      <c r="A98">
        <v>97</v>
      </c>
      <c r="B98" t="s">
        <v>28</v>
      </c>
      <c r="C98">
        <v>36</v>
      </c>
      <c r="D98" t="s">
        <v>35</v>
      </c>
      <c r="E98">
        <v>7.2</v>
      </c>
      <c r="F98">
        <v>8</v>
      </c>
      <c r="G98">
        <v>60</v>
      </c>
      <c r="H98">
        <v>4</v>
      </c>
      <c r="I98" t="s">
        <v>19</v>
      </c>
      <c r="J98" t="s">
        <v>41</v>
      </c>
      <c r="K98">
        <v>68</v>
      </c>
      <c r="L98">
        <v>7000</v>
      </c>
      <c r="M98" t="s">
        <v>17</v>
      </c>
    </row>
    <row r="99" spans="1:13" x14ac:dyDescent="0.3">
      <c r="A99">
        <v>98</v>
      </c>
      <c r="B99" t="s">
        <v>28</v>
      </c>
      <c r="C99">
        <v>36</v>
      </c>
      <c r="D99" t="s">
        <v>35</v>
      </c>
      <c r="E99">
        <v>7.1</v>
      </c>
      <c r="F99">
        <v>8</v>
      </c>
      <c r="G99">
        <v>60</v>
      </c>
      <c r="H99">
        <v>4</v>
      </c>
      <c r="I99" t="s">
        <v>19</v>
      </c>
      <c r="J99" t="s">
        <v>41</v>
      </c>
      <c r="K99">
        <v>68</v>
      </c>
      <c r="L99">
        <v>7000</v>
      </c>
      <c r="M99" t="s">
        <v>17</v>
      </c>
    </row>
    <row r="100" spans="1:13" x14ac:dyDescent="0.3">
      <c r="A100">
        <v>99</v>
      </c>
      <c r="B100" t="s">
        <v>28</v>
      </c>
      <c r="C100">
        <v>36</v>
      </c>
      <c r="D100" t="s">
        <v>26</v>
      </c>
      <c r="E100">
        <v>7.1</v>
      </c>
      <c r="F100">
        <v>8</v>
      </c>
      <c r="G100">
        <v>60</v>
      </c>
      <c r="H100">
        <v>4</v>
      </c>
      <c r="I100" t="s">
        <v>19</v>
      </c>
      <c r="J100" t="s">
        <v>41</v>
      </c>
      <c r="K100">
        <v>68</v>
      </c>
      <c r="L100">
        <v>7000</v>
      </c>
      <c r="M100" t="s">
        <v>17</v>
      </c>
    </row>
    <row r="101" spans="1:13" x14ac:dyDescent="0.3">
      <c r="A101">
        <v>100</v>
      </c>
      <c r="B101" t="s">
        <v>28</v>
      </c>
      <c r="C101">
        <v>36</v>
      </c>
      <c r="D101" t="s">
        <v>26</v>
      </c>
      <c r="E101">
        <v>7.1</v>
      </c>
      <c r="F101">
        <v>8</v>
      </c>
      <c r="G101">
        <v>60</v>
      </c>
      <c r="H101">
        <v>4</v>
      </c>
      <c r="I101" t="s">
        <v>19</v>
      </c>
      <c r="J101" t="s">
        <v>41</v>
      </c>
      <c r="K101">
        <v>68</v>
      </c>
      <c r="L101">
        <v>7000</v>
      </c>
      <c r="M101" t="s">
        <v>17</v>
      </c>
    </row>
    <row r="102" spans="1:13" x14ac:dyDescent="0.3">
      <c r="A102">
        <v>101</v>
      </c>
      <c r="B102" t="s">
        <v>28</v>
      </c>
      <c r="C102">
        <v>36</v>
      </c>
      <c r="D102" t="s">
        <v>26</v>
      </c>
      <c r="E102">
        <v>7.2</v>
      </c>
      <c r="F102">
        <v>8</v>
      </c>
      <c r="G102">
        <v>60</v>
      </c>
      <c r="H102">
        <v>4</v>
      </c>
      <c r="I102" t="s">
        <v>19</v>
      </c>
      <c r="J102" t="s">
        <v>41</v>
      </c>
      <c r="K102">
        <v>68</v>
      </c>
      <c r="L102">
        <v>7000</v>
      </c>
      <c r="M102" t="s">
        <v>17</v>
      </c>
    </row>
    <row r="103" spans="1:13" x14ac:dyDescent="0.3">
      <c r="A103">
        <v>102</v>
      </c>
      <c r="B103" t="s">
        <v>28</v>
      </c>
      <c r="C103">
        <v>36</v>
      </c>
      <c r="D103" t="s">
        <v>26</v>
      </c>
      <c r="E103">
        <v>7.2</v>
      </c>
      <c r="F103">
        <v>8</v>
      </c>
      <c r="G103">
        <v>60</v>
      </c>
      <c r="H103">
        <v>4</v>
      </c>
      <c r="I103" t="s">
        <v>19</v>
      </c>
      <c r="J103" t="s">
        <v>41</v>
      </c>
      <c r="K103">
        <v>68</v>
      </c>
      <c r="L103">
        <v>7000</v>
      </c>
      <c r="M103" t="s">
        <v>17</v>
      </c>
    </row>
    <row r="104" spans="1:13" x14ac:dyDescent="0.3">
      <c r="A104">
        <v>103</v>
      </c>
      <c r="B104" t="s">
        <v>28</v>
      </c>
      <c r="C104">
        <v>36</v>
      </c>
      <c r="D104" t="s">
        <v>26</v>
      </c>
      <c r="E104">
        <v>7.2</v>
      </c>
      <c r="F104">
        <v>8</v>
      </c>
      <c r="G104">
        <v>60</v>
      </c>
      <c r="H104">
        <v>4</v>
      </c>
      <c r="I104" t="s">
        <v>19</v>
      </c>
      <c r="J104" t="s">
        <v>41</v>
      </c>
      <c r="K104">
        <v>68</v>
      </c>
      <c r="L104">
        <v>7000</v>
      </c>
      <c r="M104" t="s">
        <v>17</v>
      </c>
    </row>
    <row r="105" spans="1:13" x14ac:dyDescent="0.3">
      <c r="A105">
        <v>104</v>
      </c>
      <c r="B105" t="s">
        <v>13</v>
      </c>
      <c r="C105">
        <v>36</v>
      </c>
      <c r="D105" t="s">
        <v>26</v>
      </c>
      <c r="E105">
        <v>6.6</v>
      </c>
      <c r="F105">
        <v>5</v>
      </c>
      <c r="G105">
        <v>35</v>
      </c>
      <c r="H105">
        <v>7</v>
      </c>
      <c r="I105" t="s">
        <v>15</v>
      </c>
      <c r="J105" t="s">
        <v>44</v>
      </c>
      <c r="K105">
        <v>74</v>
      </c>
      <c r="L105">
        <v>4800</v>
      </c>
      <c r="M105" t="s">
        <v>24</v>
      </c>
    </row>
    <row r="106" spans="1:13" x14ac:dyDescent="0.3">
      <c r="A106">
        <v>105</v>
      </c>
      <c r="B106" t="s">
        <v>28</v>
      </c>
      <c r="C106">
        <v>36</v>
      </c>
      <c r="D106" t="s">
        <v>26</v>
      </c>
      <c r="E106">
        <v>7.2</v>
      </c>
      <c r="F106">
        <v>8</v>
      </c>
      <c r="G106">
        <v>60</v>
      </c>
      <c r="H106">
        <v>4</v>
      </c>
      <c r="I106" t="s">
        <v>19</v>
      </c>
      <c r="J106" t="s">
        <v>41</v>
      </c>
      <c r="K106">
        <v>68</v>
      </c>
      <c r="L106">
        <v>7000</v>
      </c>
      <c r="M106" t="s">
        <v>24</v>
      </c>
    </row>
    <row r="107" spans="1:13" x14ac:dyDescent="0.3">
      <c r="A107">
        <v>106</v>
      </c>
      <c r="B107" t="s">
        <v>13</v>
      </c>
      <c r="C107">
        <v>36</v>
      </c>
      <c r="D107" t="s">
        <v>26</v>
      </c>
      <c r="E107">
        <v>6.6</v>
      </c>
      <c r="F107">
        <v>5</v>
      </c>
      <c r="G107">
        <v>35</v>
      </c>
      <c r="H107">
        <v>7</v>
      </c>
      <c r="I107" t="s">
        <v>15</v>
      </c>
      <c r="J107" t="s">
        <v>44</v>
      </c>
      <c r="K107">
        <v>74</v>
      </c>
      <c r="L107">
        <v>4800</v>
      </c>
      <c r="M107" t="s">
        <v>25</v>
      </c>
    </row>
    <row r="108" spans="1:13" x14ac:dyDescent="0.3">
      <c r="A108">
        <v>107</v>
      </c>
      <c r="B108" t="s">
        <v>28</v>
      </c>
      <c r="C108">
        <v>37</v>
      </c>
      <c r="D108" t="s">
        <v>29</v>
      </c>
      <c r="E108">
        <v>6.1</v>
      </c>
      <c r="F108">
        <v>6</v>
      </c>
      <c r="G108">
        <v>42</v>
      </c>
      <c r="H108">
        <v>6</v>
      </c>
      <c r="I108" t="s">
        <v>15</v>
      </c>
      <c r="J108" t="s">
        <v>16</v>
      </c>
      <c r="K108">
        <v>77</v>
      </c>
      <c r="L108">
        <v>4200</v>
      </c>
      <c r="M108" t="s">
        <v>17</v>
      </c>
    </row>
    <row r="109" spans="1:13" x14ac:dyDescent="0.3">
      <c r="A109">
        <v>108</v>
      </c>
      <c r="B109" t="s">
        <v>13</v>
      </c>
      <c r="C109">
        <v>37</v>
      </c>
      <c r="D109" t="s">
        <v>34</v>
      </c>
      <c r="E109">
        <v>7.8</v>
      </c>
      <c r="F109">
        <v>8</v>
      </c>
      <c r="G109">
        <v>70</v>
      </c>
      <c r="H109">
        <v>4</v>
      </c>
      <c r="I109" t="s">
        <v>30</v>
      </c>
      <c r="J109" t="s">
        <v>27</v>
      </c>
      <c r="K109">
        <v>68</v>
      </c>
      <c r="L109">
        <v>7000</v>
      </c>
      <c r="M109" t="s">
        <v>17</v>
      </c>
    </row>
    <row r="110" spans="1:13" x14ac:dyDescent="0.3">
      <c r="A110">
        <v>109</v>
      </c>
      <c r="B110" t="s">
        <v>13</v>
      </c>
      <c r="C110">
        <v>37</v>
      </c>
      <c r="D110" t="s">
        <v>34</v>
      </c>
      <c r="E110">
        <v>7.8</v>
      </c>
      <c r="F110">
        <v>8</v>
      </c>
      <c r="G110">
        <v>70</v>
      </c>
      <c r="H110">
        <v>4</v>
      </c>
      <c r="I110" t="s">
        <v>30</v>
      </c>
      <c r="J110" t="s">
        <v>27</v>
      </c>
      <c r="K110">
        <v>68</v>
      </c>
      <c r="L110">
        <v>7000</v>
      </c>
      <c r="M110" t="s">
        <v>17</v>
      </c>
    </row>
    <row r="111" spans="1:13" x14ac:dyDescent="0.3">
      <c r="A111">
        <v>110</v>
      </c>
      <c r="B111" t="s">
        <v>13</v>
      </c>
      <c r="C111">
        <v>37</v>
      </c>
      <c r="D111" t="s">
        <v>42</v>
      </c>
      <c r="E111">
        <v>7.4</v>
      </c>
      <c r="F111">
        <v>8</v>
      </c>
      <c r="G111">
        <v>60</v>
      </c>
      <c r="H111">
        <v>5</v>
      </c>
      <c r="I111" t="s">
        <v>19</v>
      </c>
      <c r="J111" t="s">
        <v>45</v>
      </c>
      <c r="K111">
        <v>68</v>
      </c>
      <c r="L111">
        <v>8000</v>
      </c>
      <c r="M111" t="s">
        <v>17</v>
      </c>
    </row>
    <row r="112" spans="1:13" x14ac:dyDescent="0.3">
      <c r="A112">
        <v>111</v>
      </c>
      <c r="B112" t="s">
        <v>28</v>
      </c>
      <c r="C112">
        <v>37</v>
      </c>
      <c r="D112" t="s">
        <v>35</v>
      </c>
      <c r="E112">
        <v>7.2</v>
      </c>
      <c r="F112">
        <v>8</v>
      </c>
      <c r="G112">
        <v>60</v>
      </c>
      <c r="H112">
        <v>4</v>
      </c>
      <c r="I112" t="s">
        <v>19</v>
      </c>
      <c r="J112" t="s">
        <v>41</v>
      </c>
      <c r="K112">
        <v>68</v>
      </c>
      <c r="L112">
        <v>7000</v>
      </c>
      <c r="M112" t="s">
        <v>17</v>
      </c>
    </row>
    <row r="113" spans="1:13" x14ac:dyDescent="0.3">
      <c r="A113">
        <v>112</v>
      </c>
      <c r="B113" t="s">
        <v>13</v>
      </c>
      <c r="C113">
        <v>37</v>
      </c>
      <c r="D113" t="s">
        <v>42</v>
      </c>
      <c r="E113">
        <v>7.4</v>
      </c>
      <c r="F113">
        <v>8</v>
      </c>
      <c r="G113">
        <v>60</v>
      </c>
      <c r="H113">
        <v>5</v>
      </c>
      <c r="I113" t="s">
        <v>19</v>
      </c>
      <c r="J113" t="s">
        <v>45</v>
      </c>
      <c r="K113">
        <v>68</v>
      </c>
      <c r="L113">
        <v>8000</v>
      </c>
      <c r="M113" t="s">
        <v>17</v>
      </c>
    </row>
    <row r="114" spans="1:13" x14ac:dyDescent="0.3">
      <c r="A114">
        <v>113</v>
      </c>
      <c r="B114" t="s">
        <v>28</v>
      </c>
      <c r="C114">
        <v>37</v>
      </c>
      <c r="D114" t="s">
        <v>35</v>
      </c>
      <c r="E114">
        <v>7.2</v>
      </c>
      <c r="F114">
        <v>8</v>
      </c>
      <c r="G114">
        <v>60</v>
      </c>
      <c r="H114">
        <v>4</v>
      </c>
      <c r="I114" t="s">
        <v>19</v>
      </c>
      <c r="J114" t="s">
        <v>41</v>
      </c>
      <c r="K114">
        <v>68</v>
      </c>
      <c r="L114">
        <v>7000</v>
      </c>
      <c r="M114" t="s">
        <v>17</v>
      </c>
    </row>
    <row r="115" spans="1:13" x14ac:dyDescent="0.3">
      <c r="A115">
        <v>114</v>
      </c>
      <c r="B115" t="s">
        <v>13</v>
      </c>
      <c r="C115">
        <v>37</v>
      </c>
      <c r="D115" t="s">
        <v>42</v>
      </c>
      <c r="E115">
        <v>7.4</v>
      </c>
      <c r="F115">
        <v>8</v>
      </c>
      <c r="G115">
        <v>60</v>
      </c>
      <c r="H115">
        <v>5</v>
      </c>
      <c r="I115" t="s">
        <v>19</v>
      </c>
      <c r="J115" t="s">
        <v>45</v>
      </c>
      <c r="K115">
        <v>68</v>
      </c>
      <c r="L115">
        <v>8000</v>
      </c>
      <c r="M115" t="s">
        <v>17</v>
      </c>
    </row>
    <row r="116" spans="1:13" x14ac:dyDescent="0.3">
      <c r="A116">
        <v>115</v>
      </c>
      <c r="B116" t="s">
        <v>28</v>
      </c>
      <c r="C116">
        <v>37</v>
      </c>
      <c r="D116" t="s">
        <v>35</v>
      </c>
      <c r="E116">
        <v>7.2</v>
      </c>
      <c r="F116">
        <v>8</v>
      </c>
      <c r="G116">
        <v>60</v>
      </c>
      <c r="H116">
        <v>4</v>
      </c>
      <c r="I116" t="s">
        <v>19</v>
      </c>
      <c r="J116" t="s">
        <v>41</v>
      </c>
      <c r="K116">
        <v>68</v>
      </c>
      <c r="L116">
        <v>7000</v>
      </c>
      <c r="M116" t="s">
        <v>17</v>
      </c>
    </row>
    <row r="117" spans="1:13" x14ac:dyDescent="0.3">
      <c r="A117">
        <v>116</v>
      </c>
      <c r="B117" t="s">
        <v>28</v>
      </c>
      <c r="C117">
        <v>37</v>
      </c>
      <c r="D117" t="s">
        <v>35</v>
      </c>
      <c r="E117">
        <v>7.2</v>
      </c>
      <c r="F117">
        <v>8</v>
      </c>
      <c r="G117">
        <v>60</v>
      </c>
      <c r="H117">
        <v>4</v>
      </c>
      <c r="I117" t="s">
        <v>19</v>
      </c>
      <c r="J117" t="s">
        <v>41</v>
      </c>
      <c r="K117">
        <v>68</v>
      </c>
      <c r="L117">
        <v>7000</v>
      </c>
      <c r="M117" t="s">
        <v>17</v>
      </c>
    </row>
    <row r="118" spans="1:13" x14ac:dyDescent="0.3">
      <c r="A118">
        <v>117</v>
      </c>
      <c r="B118" t="s">
        <v>28</v>
      </c>
      <c r="C118">
        <v>37</v>
      </c>
      <c r="D118" t="s">
        <v>35</v>
      </c>
      <c r="E118">
        <v>7.2</v>
      </c>
      <c r="F118">
        <v>8</v>
      </c>
      <c r="G118">
        <v>60</v>
      </c>
      <c r="H118">
        <v>4</v>
      </c>
      <c r="I118" t="s">
        <v>19</v>
      </c>
      <c r="J118" t="s">
        <v>41</v>
      </c>
      <c r="K118">
        <v>68</v>
      </c>
      <c r="L118">
        <v>7000</v>
      </c>
      <c r="M118" t="s">
        <v>17</v>
      </c>
    </row>
    <row r="119" spans="1:13" x14ac:dyDescent="0.3">
      <c r="A119">
        <v>118</v>
      </c>
      <c r="B119" t="s">
        <v>28</v>
      </c>
      <c r="C119">
        <v>37</v>
      </c>
      <c r="D119" t="s">
        <v>35</v>
      </c>
      <c r="E119">
        <v>7.2</v>
      </c>
      <c r="F119">
        <v>8</v>
      </c>
      <c r="G119">
        <v>60</v>
      </c>
      <c r="H119">
        <v>4</v>
      </c>
      <c r="I119" t="s">
        <v>19</v>
      </c>
      <c r="J119" t="s">
        <v>41</v>
      </c>
      <c r="K119">
        <v>68</v>
      </c>
      <c r="L119">
        <v>7000</v>
      </c>
      <c r="M119" t="s">
        <v>17</v>
      </c>
    </row>
    <row r="120" spans="1:13" x14ac:dyDescent="0.3">
      <c r="A120">
        <v>119</v>
      </c>
      <c r="B120" t="s">
        <v>28</v>
      </c>
      <c r="C120">
        <v>37</v>
      </c>
      <c r="D120" t="s">
        <v>35</v>
      </c>
      <c r="E120">
        <v>7.2</v>
      </c>
      <c r="F120">
        <v>8</v>
      </c>
      <c r="G120">
        <v>60</v>
      </c>
      <c r="H120">
        <v>4</v>
      </c>
      <c r="I120" t="s">
        <v>19</v>
      </c>
      <c r="J120" t="s">
        <v>41</v>
      </c>
      <c r="K120">
        <v>68</v>
      </c>
      <c r="L120">
        <v>7000</v>
      </c>
      <c r="M120" t="s">
        <v>17</v>
      </c>
    </row>
    <row r="121" spans="1:13" x14ac:dyDescent="0.3">
      <c r="A121">
        <v>120</v>
      </c>
      <c r="B121" t="s">
        <v>28</v>
      </c>
      <c r="C121">
        <v>37</v>
      </c>
      <c r="D121" t="s">
        <v>35</v>
      </c>
      <c r="E121">
        <v>7.2</v>
      </c>
      <c r="F121">
        <v>8</v>
      </c>
      <c r="G121">
        <v>60</v>
      </c>
      <c r="H121">
        <v>4</v>
      </c>
      <c r="I121" t="s">
        <v>19</v>
      </c>
      <c r="J121" t="s">
        <v>41</v>
      </c>
      <c r="K121">
        <v>68</v>
      </c>
      <c r="L121">
        <v>7000</v>
      </c>
      <c r="M121" t="s">
        <v>17</v>
      </c>
    </row>
    <row r="122" spans="1:13" x14ac:dyDescent="0.3">
      <c r="A122">
        <v>121</v>
      </c>
      <c r="B122" t="s">
        <v>28</v>
      </c>
      <c r="C122">
        <v>37</v>
      </c>
      <c r="D122" t="s">
        <v>35</v>
      </c>
      <c r="E122">
        <v>7.2</v>
      </c>
      <c r="F122">
        <v>8</v>
      </c>
      <c r="G122">
        <v>60</v>
      </c>
      <c r="H122">
        <v>4</v>
      </c>
      <c r="I122" t="s">
        <v>19</v>
      </c>
      <c r="J122" t="s">
        <v>41</v>
      </c>
      <c r="K122">
        <v>68</v>
      </c>
      <c r="L122">
        <v>7000</v>
      </c>
      <c r="M122" t="s">
        <v>17</v>
      </c>
    </row>
    <row r="123" spans="1:13" x14ac:dyDescent="0.3">
      <c r="A123">
        <v>122</v>
      </c>
      <c r="B123" t="s">
        <v>28</v>
      </c>
      <c r="C123">
        <v>37</v>
      </c>
      <c r="D123" t="s">
        <v>35</v>
      </c>
      <c r="E123">
        <v>7.2</v>
      </c>
      <c r="F123">
        <v>8</v>
      </c>
      <c r="G123">
        <v>60</v>
      </c>
      <c r="H123">
        <v>4</v>
      </c>
      <c r="I123" t="s">
        <v>19</v>
      </c>
      <c r="J123" t="s">
        <v>41</v>
      </c>
      <c r="K123">
        <v>68</v>
      </c>
      <c r="L123">
        <v>7000</v>
      </c>
      <c r="M123" t="s">
        <v>17</v>
      </c>
    </row>
    <row r="124" spans="1:13" x14ac:dyDescent="0.3">
      <c r="A124">
        <v>123</v>
      </c>
      <c r="B124" t="s">
        <v>28</v>
      </c>
      <c r="C124">
        <v>37</v>
      </c>
      <c r="D124" t="s">
        <v>35</v>
      </c>
      <c r="E124">
        <v>7.2</v>
      </c>
      <c r="F124">
        <v>8</v>
      </c>
      <c r="G124">
        <v>60</v>
      </c>
      <c r="H124">
        <v>4</v>
      </c>
      <c r="I124" t="s">
        <v>19</v>
      </c>
      <c r="J124" t="s">
        <v>41</v>
      </c>
      <c r="K124">
        <v>68</v>
      </c>
      <c r="L124">
        <v>7000</v>
      </c>
      <c r="M124" t="s">
        <v>17</v>
      </c>
    </row>
    <row r="125" spans="1:13" x14ac:dyDescent="0.3">
      <c r="A125">
        <v>124</v>
      </c>
      <c r="B125" t="s">
        <v>28</v>
      </c>
      <c r="C125">
        <v>37</v>
      </c>
      <c r="D125" t="s">
        <v>35</v>
      </c>
      <c r="E125">
        <v>7.2</v>
      </c>
      <c r="F125">
        <v>8</v>
      </c>
      <c r="G125">
        <v>60</v>
      </c>
      <c r="H125">
        <v>4</v>
      </c>
      <c r="I125" t="s">
        <v>19</v>
      </c>
      <c r="J125" t="s">
        <v>41</v>
      </c>
      <c r="K125">
        <v>68</v>
      </c>
      <c r="L125">
        <v>7000</v>
      </c>
      <c r="M125" t="s">
        <v>17</v>
      </c>
    </row>
    <row r="126" spans="1:13" x14ac:dyDescent="0.3">
      <c r="A126">
        <v>125</v>
      </c>
      <c r="B126" t="s">
        <v>28</v>
      </c>
      <c r="C126">
        <v>37</v>
      </c>
      <c r="D126" t="s">
        <v>35</v>
      </c>
      <c r="E126">
        <v>7.2</v>
      </c>
      <c r="F126">
        <v>8</v>
      </c>
      <c r="G126">
        <v>60</v>
      </c>
      <c r="H126">
        <v>4</v>
      </c>
      <c r="I126" t="s">
        <v>19</v>
      </c>
      <c r="J126" t="s">
        <v>41</v>
      </c>
      <c r="K126">
        <v>68</v>
      </c>
      <c r="L126">
        <v>7000</v>
      </c>
      <c r="M126" t="s">
        <v>17</v>
      </c>
    </row>
    <row r="127" spans="1:13" x14ac:dyDescent="0.3">
      <c r="A127">
        <v>126</v>
      </c>
      <c r="B127" t="s">
        <v>28</v>
      </c>
      <c r="C127">
        <v>37</v>
      </c>
      <c r="D127" t="s">
        <v>29</v>
      </c>
      <c r="E127">
        <v>7.5</v>
      </c>
      <c r="F127">
        <v>8</v>
      </c>
      <c r="G127">
        <v>60</v>
      </c>
      <c r="H127">
        <v>4</v>
      </c>
      <c r="I127" t="s">
        <v>30</v>
      </c>
      <c r="J127" t="s">
        <v>27</v>
      </c>
      <c r="K127">
        <v>70</v>
      </c>
      <c r="L127">
        <v>8000</v>
      </c>
      <c r="M127" t="s">
        <v>17</v>
      </c>
    </row>
    <row r="128" spans="1:13" x14ac:dyDescent="0.3">
      <c r="A128">
        <v>127</v>
      </c>
      <c r="B128" t="s">
        <v>13</v>
      </c>
      <c r="C128">
        <v>38</v>
      </c>
      <c r="D128" t="s">
        <v>42</v>
      </c>
      <c r="E128">
        <v>7.3</v>
      </c>
      <c r="F128">
        <v>8</v>
      </c>
      <c r="G128">
        <v>60</v>
      </c>
      <c r="H128">
        <v>5</v>
      </c>
      <c r="I128" t="s">
        <v>19</v>
      </c>
      <c r="J128" t="s">
        <v>45</v>
      </c>
      <c r="K128">
        <v>68</v>
      </c>
      <c r="L128">
        <v>8000</v>
      </c>
      <c r="M128" t="s">
        <v>17</v>
      </c>
    </row>
    <row r="129" spans="1:13" x14ac:dyDescent="0.3">
      <c r="A129">
        <v>128</v>
      </c>
      <c r="B129" t="s">
        <v>28</v>
      </c>
      <c r="C129">
        <v>38</v>
      </c>
      <c r="D129" t="s">
        <v>35</v>
      </c>
      <c r="E129">
        <v>7.1</v>
      </c>
      <c r="F129">
        <v>8</v>
      </c>
      <c r="G129">
        <v>60</v>
      </c>
      <c r="H129">
        <v>4</v>
      </c>
      <c r="I129" t="s">
        <v>19</v>
      </c>
      <c r="J129" t="s">
        <v>41</v>
      </c>
      <c r="K129">
        <v>68</v>
      </c>
      <c r="L129">
        <v>7000</v>
      </c>
      <c r="M129" t="s">
        <v>17</v>
      </c>
    </row>
    <row r="130" spans="1:13" x14ac:dyDescent="0.3">
      <c r="A130">
        <v>129</v>
      </c>
      <c r="B130" t="s">
        <v>13</v>
      </c>
      <c r="C130">
        <v>38</v>
      </c>
      <c r="D130" t="s">
        <v>42</v>
      </c>
      <c r="E130">
        <v>7.3</v>
      </c>
      <c r="F130">
        <v>8</v>
      </c>
      <c r="G130">
        <v>60</v>
      </c>
      <c r="H130">
        <v>5</v>
      </c>
      <c r="I130" t="s">
        <v>19</v>
      </c>
      <c r="J130" t="s">
        <v>45</v>
      </c>
      <c r="K130">
        <v>68</v>
      </c>
      <c r="L130">
        <v>8000</v>
      </c>
      <c r="M130" t="s">
        <v>17</v>
      </c>
    </row>
    <row r="131" spans="1:13" x14ac:dyDescent="0.3">
      <c r="A131">
        <v>130</v>
      </c>
      <c r="B131" t="s">
        <v>13</v>
      </c>
      <c r="C131">
        <v>38</v>
      </c>
      <c r="D131" t="s">
        <v>42</v>
      </c>
      <c r="E131">
        <v>7.3</v>
      </c>
      <c r="F131">
        <v>8</v>
      </c>
      <c r="G131">
        <v>60</v>
      </c>
      <c r="H131">
        <v>5</v>
      </c>
      <c r="I131" t="s">
        <v>19</v>
      </c>
      <c r="J131" t="s">
        <v>45</v>
      </c>
      <c r="K131">
        <v>68</v>
      </c>
      <c r="L131">
        <v>8000</v>
      </c>
      <c r="M131" t="s">
        <v>17</v>
      </c>
    </row>
    <row r="132" spans="1:13" x14ac:dyDescent="0.3">
      <c r="A132">
        <v>131</v>
      </c>
      <c r="B132" t="s">
        <v>28</v>
      </c>
      <c r="C132">
        <v>38</v>
      </c>
      <c r="D132" t="s">
        <v>35</v>
      </c>
      <c r="E132">
        <v>7.1</v>
      </c>
      <c r="F132">
        <v>8</v>
      </c>
      <c r="G132">
        <v>60</v>
      </c>
      <c r="H132">
        <v>4</v>
      </c>
      <c r="I132" t="s">
        <v>19</v>
      </c>
      <c r="J132" t="s">
        <v>41</v>
      </c>
      <c r="K132">
        <v>68</v>
      </c>
      <c r="L132">
        <v>7000</v>
      </c>
      <c r="M132" t="s">
        <v>17</v>
      </c>
    </row>
    <row r="133" spans="1:13" x14ac:dyDescent="0.3">
      <c r="A133">
        <v>132</v>
      </c>
      <c r="B133" t="s">
        <v>13</v>
      </c>
      <c r="C133">
        <v>38</v>
      </c>
      <c r="D133" t="s">
        <v>42</v>
      </c>
      <c r="E133">
        <v>7.3</v>
      </c>
      <c r="F133">
        <v>8</v>
      </c>
      <c r="G133">
        <v>60</v>
      </c>
      <c r="H133">
        <v>5</v>
      </c>
      <c r="I133" t="s">
        <v>19</v>
      </c>
      <c r="J133" t="s">
        <v>45</v>
      </c>
      <c r="K133">
        <v>68</v>
      </c>
      <c r="L133">
        <v>8000</v>
      </c>
      <c r="M133" t="s">
        <v>17</v>
      </c>
    </row>
    <row r="134" spans="1:13" x14ac:dyDescent="0.3">
      <c r="A134">
        <v>133</v>
      </c>
      <c r="B134" t="s">
        <v>13</v>
      </c>
      <c r="C134">
        <v>38</v>
      </c>
      <c r="D134" t="s">
        <v>42</v>
      </c>
      <c r="E134">
        <v>7.3</v>
      </c>
      <c r="F134">
        <v>8</v>
      </c>
      <c r="G134">
        <v>60</v>
      </c>
      <c r="H134">
        <v>5</v>
      </c>
      <c r="I134" t="s">
        <v>19</v>
      </c>
      <c r="J134" t="s">
        <v>45</v>
      </c>
      <c r="K134">
        <v>68</v>
      </c>
      <c r="L134">
        <v>8000</v>
      </c>
      <c r="M134" t="s">
        <v>17</v>
      </c>
    </row>
    <row r="135" spans="1:13" x14ac:dyDescent="0.3">
      <c r="A135">
        <v>134</v>
      </c>
      <c r="B135" t="s">
        <v>28</v>
      </c>
      <c r="C135">
        <v>38</v>
      </c>
      <c r="D135" t="s">
        <v>35</v>
      </c>
      <c r="E135">
        <v>7.1</v>
      </c>
      <c r="F135">
        <v>8</v>
      </c>
      <c r="G135">
        <v>60</v>
      </c>
      <c r="H135">
        <v>4</v>
      </c>
      <c r="I135" t="s">
        <v>19</v>
      </c>
      <c r="J135" t="s">
        <v>41</v>
      </c>
      <c r="K135">
        <v>68</v>
      </c>
      <c r="L135">
        <v>7000</v>
      </c>
      <c r="M135" t="s">
        <v>17</v>
      </c>
    </row>
    <row r="136" spans="1:13" x14ac:dyDescent="0.3">
      <c r="A136">
        <v>135</v>
      </c>
      <c r="B136" t="s">
        <v>13</v>
      </c>
      <c r="C136">
        <v>38</v>
      </c>
      <c r="D136" t="s">
        <v>42</v>
      </c>
      <c r="E136">
        <v>7.3</v>
      </c>
      <c r="F136">
        <v>8</v>
      </c>
      <c r="G136">
        <v>60</v>
      </c>
      <c r="H136">
        <v>5</v>
      </c>
      <c r="I136" t="s">
        <v>19</v>
      </c>
      <c r="J136" t="s">
        <v>45</v>
      </c>
      <c r="K136">
        <v>68</v>
      </c>
      <c r="L136">
        <v>8000</v>
      </c>
      <c r="M136" t="s">
        <v>17</v>
      </c>
    </row>
    <row r="137" spans="1:13" x14ac:dyDescent="0.3">
      <c r="A137">
        <v>136</v>
      </c>
      <c r="B137" t="s">
        <v>13</v>
      </c>
      <c r="C137">
        <v>38</v>
      </c>
      <c r="D137" t="s">
        <v>42</v>
      </c>
      <c r="E137">
        <v>7.3</v>
      </c>
      <c r="F137">
        <v>8</v>
      </c>
      <c r="G137">
        <v>60</v>
      </c>
      <c r="H137">
        <v>5</v>
      </c>
      <c r="I137" t="s">
        <v>19</v>
      </c>
      <c r="J137" t="s">
        <v>45</v>
      </c>
      <c r="K137">
        <v>68</v>
      </c>
      <c r="L137">
        <v>8000</v>
      </c>
      <c r="M137" t="s">
        <v>17</v>
      </c>
    </row>
    <row r="138" spans="1:13" x14ac:dyDescent="0.3">
      <c r="A138">
        <v>137</v>
      </c>
      <c r="B138" t="s">
        <v>28</v>
      </c>
      <c r="C138">
        <v>38</v>
      </c>
      <c r="D138" t="s">
        <v>35</v>
      </c>
      <c r="E138">
        <v>7.1</v>
      </c>
      <c r="F138">
        <v>8</v>
      </c>
      <c r="G138">
        <v>60</v>
      </c>
      <c r="H138">
        <v>4</v>
      </c>
      <c r="I138" t="s">
        <v>19</v>
      </c>
      <c r="J138" t="s">
        <v>41</v>
      </c>
      <c r="K138">
        <v>68</v>
      </c>
      <c r="L138">
        <v>7000</v>
      </c>
      <c r="M138" t="s">
        <v>17</v>
      </c>
    </row>
    <row r="139" spans="1:13" x14ac:dyDescent="0.3">
      <c r="A139">
        <v>138</v>
      </c>
      <c r="B139" t="s">
        <v>13</v>
      </c>
      <c r="C139">
        <v>38</v>
      </c>
      <c r="D139" t="s">
        <v>42</v>
      </c>
      <c r="E139">
        <v>7.1</v>
      </c>
      <c r="F139">
        <v>8</v>
      </c>
      <c r="G139">
        <v>60</v>
      </c>
      <c r="H139">
        <v>5</v>
      </c>
      <c r="I139" t="s">
        <v>19</v>
      </c>
      <c r="J139" t="s">
        <v>45</v>
      </c>
      <c r="K139">
        <v>68</v>
      </c>
      <c r="L139">
        <v>8000</v>
      </c>
      <c r="M139" t="s">
        <v>17</v>
      </c>
    </row>
    <row r="140" spans="1:13" x14ac:dyDescent="0.3">
      <c r="A140">
        <v>139</v>
      </c>
      <c r="B140" t="s">
        <v>28</v>
      </c>
      <c r="C140">
        <v>38</v>
      </c>
      <c r="D140" t="s">
        <v>35</v>
      </c>
      <c r="E140">
        <v>7.1</v>
      </c>
      <c r="F140">
        <v>8</v>
      </c>
      <c r="G140">
        <v>60</v>
      </c>
      <c r="H140">
        <v>4</v>
      </c>
      <c r="I140" t="s">
        <v>19</v>
      </c>
      <c r="J140" t="s">
        <v>41</v>
      </c>
      <c r="K140">
        <v>68</v>
      </c>
      <c r="L140">
        <v>7000</v>
      </c>
      <c r="M140" t="s">
        <v>17</v>
      </c>
    </row>
    <row r="141" spans="1:13" x14ac:dyDescent="0.3">
      <c r="A141">
        <v>140</v>
      </c>
      <c r="B141" t="s">
        <v>13</v>
      </c>
      <c r="C141">
        <v>38</v>
      </c>
      <c r="D141" t="s">
        <v>42</v>
      </c>
      <c r="E141">
        <v>7.1</v>
      </c>
      <c r="F141">
        <v>8</v>
      </c>
      <c r="G141">
        <v>60</v>
      </c>
      <c r="H141">
        <v>5</v>
      </c>
      <c r="I141" t="s">
        <v>19</v>
      </c>
      <c r="J141" t="s">
        <v>45</v>
      </c>
      <c r="K141">
        <v>68</v>
      </c>
      <c r="L141">
        <v>8000</v>
      </c>
      <c r="M141" t="s">
        <v>17</v>
      </c>
    </row>
    <row r="142" spans="1:13" x14ac:dyDescent="0.3">
      <c r="A142">
        <v>141</v>
      </c>
      <c r="B142" t="s">
        <v>28</v>
      </c>
      <c r="C142">
        <v>38</v>
      </c>
      <c r="D142" t="s">
        <v>35</v>
      </c>
      <c r="E142">
        <v>7.1</v>
      </c>
      <c r="F142">
        <v>8</v>
      </c>
      <c r="G142">
        <v>60</v>
      </c>
      <c r="H142">
        <v>4</v>
      </c>
      <c r="I142" t="s">
        <v>19</v>
      </c>
      <c r="J142" t="s">
        <v>41</v>
      </c>
      <c r="K142">
        <v>68</v>
      </c>
      <c r="L142">
        <v>7000</v>
      </c>
      <c r="M142" t="s">
        <v>17</v>
      </c>
    </row>
    <row r="143" spans="1:13" x14ac:dyDescent="0.3">
      <c r="A143">
        <v>142</v>
      </c>
      <c r="B143" t="s">
        <v>13</v>
      </c>
      <c r="C143">
        <v>38</v>
      </c>
      <c r="D143" t="s">
        <v>42</v>
      </c>
      <c r="E143">
        <v>7.1</v>
      </c>
      <c r="F143">
        <v>8</v>
      </c>
      <c r="G143">
        <v>60</v>
      </c>
      <c r="H143">
        <v>5</v>
      </c>
      <c r="I143" t="s">
        <v>19</v>
      </c>
      <c r="J143" t="s">
        <v>45</v>
      </c>
      <c r="K143">
        <v>68</v>
      </c>
      <c r="L143">
        <v>8000</v>
      </c>
      <c r="M143" t="s">
        <v>17</v>
      </c>
    </row>
    <row r="144" spans="1:13" x14ac:dyDescent="0.3">
      <c r="A144">
        <v>143</v>
      </c>
      <c r="B144" t="s">
        <v>28</v>
      </c>
      <c r="C144">
        <v>38</v>
      </c>
      <c r="D144" t="s">
        <v>35</v>
      </c>
      <c r="E144">
        <v>7.1</v>
      </c>
      <c r="F144">
        <v>8</v>
      </c>
      <c r="G144">
        <v>60</v>
      </c>
      <c r="H144">
        <v>4</v>
      </c>
      <c r="I144" t="s">
        <v>19</v>
      </c>
      <c r="J144" t="s">
        <v>41</v>
      </c>
      <c r="K144">
        <v>68</v>
      </c>
      <c r="L144">
        <v>7000</v>
      </c>
      <c r="M144" t="s">
        <v>17</v>
      </c>
    </row>
    <row r="145" spans="1:13" x14ac:dyDescent="0.3">
      <c r="A145">
        <v>144</v>
      </c>
      <c r="B145" t="s">
        <v>28</v>
      </c>
      <c r="C145">
        <v>38</v>
      </c>
      <c r="D145" t="s">
        <v>35</v>
      </c>
      <c r="E145">
        <v>7.1</v>
      </c>
      <c r="F145">
        <v>8</v>
      </c>
      <c r="G145">
        <v>60</v>
      </c>
      <c r="H145">
        <v>4</v>
      </c>
      <c r="I145" t="s">
        <v>19</v>
      </c>
      <c r="J145" t="s">
        <v>41</v>
      </c>
      <c r="K145">
        <v>68</v>
      </c>
      <c r="L145">
        <v>7000</v>
      </c>
      <c r="M145" t="s">
        <v>17</v>
      </c>
    </row>
    <row r="146" spans="1:13" x14ac:dyDescent="0.3">
      <c r="A146">
        <v>145</v>
      </c>
      <c r="B146" t="s">
        <v>13</v>
      </c>
      <c r="C146">
        <v>38</v>
      </c>
      <c r="D146" t="s">
        <v>42</v>
      </c>
      <c r="E146">
        <v>7.1</v>
      </c>
      <c r="F146">
        <v>8</v>
      </c>
      <c r="G146">
        <v>60</v>
      </c>
      <c r="H146">
        <v>5</v>
      </c>
      <c r="I146" t="s">
        <v>19</v>
      </c>
      <c r="J146" t="s">
        <v>45</v>
      </c>
      <c r="K146">
        <v>68</v>
      </c>
      <c r="L146">
        <v>8000</v>
      </c>
      <c r="M146" t="s">
        <v>24</v>
      </c>
    </row>
    <row r="147" spans="1:13" x14ac:dyDescent="0.3">
      <c r="A147">
        <v>146</v>
      </c>
      <c r="B147" t="s">
        <v>28</v>
      </c>
      <c r="C147">
        <v>38</v>
      </c>
      <c r="D147" t="s">
        <v>42</v>
      </c>
      <c r="E147">
        <v>7.4</v>
      </c>
      <c r="F147">
        <v>7</v>
      </c>
      <c r="G147">
        <v>60</v>
      </c>
      <c r="H147">
        <v>5</v>
      </c>
      <c r="I147" t="s">
        <v>22</v>
      </c>
      <c r="J147" t="s">
        <v>43</v>
      </c>
      <c r="K147">
        <v>84</v>
      </c>
      <c r="L147">
        <v>3300</v>
      </c>
      <c r="M147" t="s">
        <v>24</v>
      </c>
    </row>
    <row r="148" spans="1:13" x14ac:dyDescent="0.3">
      <c r="A148">
        <v>147</v>
      </c>
      <c r="B148" t="s">
        <v>13</v>
      </c>
      <c r="C148">
        <v>39</v>
      </c>
      <c r="D148" t="s">
        <v>42</v>
      </c>
      <c r="E148">
        <v>7.2</v>
      </c>
      <c r="F148">
        <v>8</v>
      </c>
      <c r="G148">
        <v>60</v>
      </c>
      <c r="H148">
        <v>5</v>
      </c>
      <c r="I148" t="s">
        <v>19</v>
      </c>
      <c r="J148" t="s">
        <v>45</v>
      </c>
      <c r="K148">
        <v>68</v>
      </c>
      <c r="L148">
        <v>8000</v>
      </c>
      <c r="M148" t="s">
        <v>25</v>
      </c>
    </row>
    <row r="149" spans="1:13" x14ac:dyDescent="0.3">
      <c r="A149">
        <v>148</v>
      </c>
      <c r="B149" t="s">
        <v>13</v>
      </c>
      <c r="C149">
        <v>39</v>
      </c>
      <c r="D149" t="s">
        <v>34</v>
      </c>
      <c r="E149">
        <v>6.5</v>
      </c>
      <c r="F149">
        <v>5</v>
      </c>
      <c r="G149">
        <v>40</v>
      </c>
      <c r="H149">
        <v>7</v>
      </c>
      <c r="I149" t="s">
        <v>15</v>
      </c>
      <c r="J149" t="s">
        <v>31</v>
      </c>
      <c r="K149">
        <v>80</v>
      </c>
      <c r="L149">
        <v>4000</v>
      </c>
      <c r="M149" t="s">
        <v>25</v>
      </c>
    </row>
    <row r="150" spans="1:13" x14ac:dyDescent="0.3">
      <c r="A150">
        <v>149</v>
      </c>
      <c r="B150" t="s">
        <v>28</v>
      </c>
      <c r="C150">
        <v>39</v>
      </c>
      <c r="D150" t="s">
        <v>42</v>
      </c>
      <c r="E150">
        <v>6.9</v>
      </c>
      <c r="F150">
        <v>7</v>
      </c>
      <c r="G150">
        <v>50</v>
      </c>
      <c r="H150">
        <v>6</v>
      </c>
      <c r="I150" t="s">
        <v>30</v>
      </c>
      <c r="J150" t="s">
        <v>38</v>
      </c>
      <c r="K150">
        <v>75</v>
      </c>
      <c r="L150">
        <v>5500</v>
      </c>
      <c r="M150" t="s">
        <v>17</v>
      </c>
    </row>
    <row r="151" spans="1:13" x14ac:dyDescent="0.3">
      <c r="A151">
        <v>150</v>
      </c>
      <c r="B151" t="s">
        <v>28</v>
      </c>
      <c r="C151">
        <v>39</v>
      </c>
      <c r="D151" t="s">
        <v>35</v>
      </c>
      <c r="E151">
        <v>8</v>
      </c>
      <c r="F151">
        <v>9</v>
      </c>
      <c r="G151">
        <v>80</v>
      </c>
      <c r="H151">
        <v>3</v>
      </c>
      <c r="I151" t="s">
        <v>30</v>
      </c>
      <c r="J151" t="s">
        <v>46</v>
      </c>
      <c r="K151">
        <v>67</v>
      </c>
      <c r="L151">
        <v>7500</v>
      </c>
      <c r="M151" t="s">
        <v>17</v>
      </c>
    </row>
    <row r="152" spans="1:13" x14ac:dyDescent="0.3">
      <c r="A152">
        <v>151</v>
      </c>
      <c r="B152" t="s">
        <v>28</v>
      </c>
      <c r="C152">
        <v>39</v>
      </c>
      <c r="D152" t="s">
        <v>35</v>
      </c>
      <c r="E152">
        <v>8</v>
      </c>
      <c r="F152">
        <v>9</v>
      </c>
      <c r="G152">
        <v>80</v>
      </c>
      <c r="H152">
        <v>3</v>
      </c>
      <c r="I152" t="s">
        <v>30</v>
      </c>
      <c r="J152" t="s">
        <v>46</v>
      </c>
      <c r="K152">
        <v>67</v>
      </c>
      <c r="L152">
        <v>7500</v>
      </c>
      <c r="M152" t="s">
        <v>17</v>
      </c>
    </row>
    <row r="153" spans="1:13" x14ac:dyDescent="0.3">
      <c r="A153">
        <v>152</v>
      </c>
      <c r="B153" t="s">
        <v>13</v>
      </c>
      <c r="C153">
        <v>39</v>
      </c>
      <c r="D153" t="s">
        <v>42</v>
      </c>
      <c r="E153">
        <v>7.2</v>
      </c>
      <c r="F153">
        <v>8</v>
      </c>
      <c r="G153">
        <v>60</v>
      </c>
      <c r="H153">
        <v>5</v>
      </c>
      <c r="I153" t="s">
        <v>19</v>
      </c>
      <c r="J153" t="s">
        <v>45</v>
      </c>
      <c r="K153">
        <v>68</v>
      </c>
      <c r="L153">
        <v>8000</v>
      </c>
      <c r="M153" t="s">
        <v>17</v>
      </c>
    </row>
    <row r="154" spans="1:13" x14ac:dyDescent="0.3">
      <c r="A154">
        <v>153</v>
      </c>
      <c r="B154" t="s">
        <v>13</v>
      </c>
      <c r="C154">
        <v>39</v>
      </c>
      <c r="D154" t="s">
        <v>42</v>
      </c>
      <c r="E154">
        <v>7.2</v>
      </c>
      <c r="F154">
        <v>8</v>
      </c>
      <c r="G154">
        <v>60</v>
      </c>
      <c r="H154">
        <v>5</v>
      </c>
      <c r="I154" t="s">
        <v>19</v>
      </c>
      <c r="J154" t="s">
        <v>45</v>
      </c>
      <c r="K154">
        <v>68</v>
      </c>
      <c r="L154">
        <v>8000</v>
      </c>
      <c r="M154" t="s">
        <v>17</v>
      </c>
    </row>
    <row r="155" spans="1:13" x14ac:dyDescent="0.3">
      <c r="A155">
        <v>154</v>
      </c>
      <c r="B155" t="s">
        <v>13</v>
      </c>
      <c r="C155">
        <v>39</v>
      </c>
      <c r="D155" t="s">
        <v>42</v>
      </c>
      <c r="E155">
        <v>7.2</v>
      </c>
      <c r="F155">
        <v>8</v>
      </c>
      <c r="G155">
        <v>60</v>
      </c>
      <c r="H155">
        <v>5</v>
      </c>
      <c r="I155" t="s">
        <v>19</v>
      </c>
      <c r="J155" t="s">
        <v>45</v>
      </c>
      <c r="K155">
        <v>68</v>
      </c>
      <c r="L155">
        <v>8000</v>
      </c>
      <c r="M155" t="s">
        <v>17</v>
      </c>
    </row>
    <row r="156" spans="1:13" x14ac:dyDescent="0.3">
      <c r="A156">
        <v>155</v>
      </c>
      <c r="B156" t="s">
        <v>13</v>
      </c>
      <c r="C156">
        <v>39</v>
      </c>
      <c r="D156" t="s">
        <v>42</v>
      </c>
      <c r="E156">
        <v>7.2</v>
      </c>
      <c r="F156">
        <v>8</v>
      </c>
      <c r="G156">
        <v>60</v>
      </c>
      <c r="H156">
        <v>5</v>
      </c>
      <c r="I156" t="s">
        <v>19</v>
      </c>
      <c r="J156" t="s">
        <v>45</v>
      </c>
      <c r="K156">
        <v>68</v>
      </c>
      <c r="L156">
        <v>8000</v>
      </c>
      <c r="M156" t="s">
        <v>17</v>
      </c>
    </row>
    <row r="157" spans="1:13" x14ac:dyDescent="0.3">
      <c r="A157">
        <v>156</v>
      </c>
      <c r="B157" t="s">
        <v>13</v>
      </c>
      <c r="C157">
        <v>39</v>
      </c>
      <c r="D157" t="s">
        <v>42</v>
      </c>
      <c r="E157">
        <v>7.2</v>
      </c>
      <c r="F157">
        <v>8</v>
      </c>
      <c r="G157">
        <v>60</v>
      </c>
      <c r="H157">
        <v>5</v>
      </c>
      <c r="I157" t="s">
        <v>19</v>
      </c>
      <c r="J157" t="s">
        <v>45</v>
      </c>
      <c r="K157">
        <v>68</v>
      </c>
      <c r="L157">
        <v>8000</v>
      </c>
      <c r="M157" t="s">
        <v>17</v>
      </c>
    </row>
    <row r="158" spans="1:13" x14ac:dyDescent="0.3">
      <c r="A158">
        <v>157</v>
      </c>
      <c r="B158" t="s">
        <v>13</v>
      </c>
      <c r="C158">
        <v>39</v>
      </c>
      <c r="D158" t="s">
        <v>42</v>
      </c>
      <c r="E158">
        <v>7.2</v>
      </c>
      <c r="F158">
        <v>8</v>
      </c>
      <c r="G158">
        <v>60</v>
      </c>
      <c r="H158">
        <v>5</v>
      </c>
      <c r="I158" t="s">
        <v>19</v>
      </c>
      <c r="J158" t="s">
        <v>45</v>
      </c>
      <c r="K158">
        <v>68</v>
      </c>
      <c r="L158">
        <v>8000</v>
      </c>
      <c r="M158" t="s">
        <v>17</v>
      </c>
    </row>
    <row r="159" spans="1:13" x14ac:dyDescent="0.3">
      <c r="A159">
        <v>158</v>
      </c>
      <c r="B159" t="s">
        <v>13</v>
      </c>
      <c r="C159">
        <v>39</v>
      </c>
      <c r="D159" t="s">
        <v>42</v>
      </c>
      <c r="E159">
        <v>7.2</v>
      </c>
      <c r="F159">
        <v>8</v>
      </c>
      <c r="G159">
        <v>60</v>
      </c>
      <c r="H159">
        <v>5</v>
      </c>
      <c r="I159" t="s">
        <v>19</v>
      </c>
      <c r="J159" t="s">
        <v>45</v>
      </c>
      <c r="K159">
        <v>68</v>
      </c>
      <c r="L159">
        <v>8000</v>
      </c>
      <c r="M159" t="s">
        <v>17</v>
      </c>
    </row>
    <row r="160" spans="1:13" x14ac:dyDescent="0.3">
      <c r="A160">
        <v>159</v>
      </c>
      <c r="B160" t="s">
        <v>13</v>
      </c>
      <c r="C160">
        <v>39</v>
      </c>
      <c r="D160" t="s">
        <v>42</v>
      </c>
      <c r="E160">
        <v>7.2</v>
      </c>
      <c r="F160">
        <v>8</v>
      </c>
      <c r="G160">
        <v>60</v>
      </c>
      <c r="H160">
        <v>5</v>
      </c>
      <c r="I160" t="s">
        <v>19</v>
      </c>
      <c r="J160" t="s">
        <v>45</v>
      </c>
      <c r="K160">
        <v>68</v>
      </c>
      <c r="L160">
        <v>8000</v>
      </c>
      <c r="M160" t="s">
        <v>17</v>
      </c>
    </row>
    <row r="161" spans="1:13" x14ac:dyDescent="0.3">
      <c r="A161">
        <v>160</v>
      </c>
      <c r="B161" t="s">
        <v>13</v>
      </c>
      <c r="C161">
        <v>39</v>
      </c>
      <c r="D161" t="s">
        <v>42</v>
      </c>
      <c r="E161">
        <v>7.2</v>
      </c>
      <c r="F161">
        <v>8</v>
      </c>
      <c r="G161">
        <v>60</v>
      </c>
      <c r="H161">
        <v>5</v>
      </c>
      <c r="I161" t="s">
        <v>19</v>
      </c>
      <c r="J161" t="s">
        <v>45</v>
      </c>
      <c r="K161">
        <v>68</v>
      </c>
      <c r="L161">
        <v>8000</v>
      </c>
      <c r="M161" t="s">
        <v>17</v>
      </c>
    </row>
    <row r="162" spans="1:13" x14ac:dyDescent="0.3">
      <c r="A162">
        <v>161</v>
      </c>
      <c r="B162" t="s">
        <v>13</v>
      </c>
      <c r="C162">
        <v>39</v>
      </c>
      <c r="D162" t="s">
        <v>42</v>
      </c>
      <c r="E162">
        <v>7.2</v>
      </c>
      <c r="F162">
        <v>8</v>
      </c>
      <c r="G162">
        <v>60</v>
      </c>
      <c r="H162">
        <v>5</v>
      </c>
      <c r="I162" t="s">
        <v>19</v>
      </c>
      <c r="J162" t="s">
        <v>45</v>
      </c>
      <c r="K162">
        <v>68</v>
      </c>
      <c r="L162">
        <v>8000</v>
      </c>
      <c r="M162" t="s">
        <v>17</v>
      </c>
    </row>
    <row r="163" spans="1:13" x14ac:dyDescent="0.3">
      <c r="A163">
        <v>162</v>
      </c>
      <c r="B163" t="s">
        <v>28</v>
      </c>
      <c r="C163">
        <v>40</v>
      </c>
      <c r="D163" t="s">
        <v>35</v>
      </c>
      <c r="E163">
        <v>7.2</v>
      </c>
      <c r="F163">
        <v>8</v>
      </c>
      <c r="G163">
        <v>55</v>
      </c>
      <c r="H163">
        <v>6</v>
      </c>
      <c r="I163" t="s">
        <v>30</v>
      </c>
      <c r="J163" t="s">
        <v>47</v>
      </c>
      <c r="K163">
        <v>73</v>
      </c>
      <c r="L163">
        <v>7300</v>
      </c>
      <c r="M163" t="s">
        <v>17</v>
      </c>
    </row>
    <row r="164" spans="1:13" x14ac:dyDescent="0.3">
      <c r="A164">
        <v>163</v>
      </c>
      <c r="B164" t="s">
        <v>28</v>
      </c>
      <c r="C164">
        <v>40</v>
      </c>
      <c r="D164" t="s">
        <v>35</v>
      </c>
      <c r="E164">
        <v>7.2</v>
      </c>
      <c r="F164">
        <v>8</v>
      </c>
      <c r="G164">
        <v>55</v>
      </c>
      <c r="H164">
        <v>6</v>
      </c>
      <c r="I164" t="s">
        <v>30</v>
      </c>
      <c r="J164" t="s">
        <v>47</v>
      </c>
      <c r="K164">
        <v>73</v>
      </c>
      <c r="L164">
        <v>7300</v>
      </c>
      <c r="M164" t="s">
        <v>17</v>
      </c>
    </row>
    <row r="165" spans="1:13" x14ac:dyDescent="0.3">
      <c r="A165">
        <v>164</v>
      </c>
      <c r="B165" t="s">
        <v>13</v>
      </c>
      <c r="C165">
        <v>40</v>
      </c>
      <c r="D165" t="s">
        <v>42</v>
      </c>
      <c r="E165">
        <v>7.9</v>
      </c>
      <c r="F165">
        <v>8</v>
      </c>
      <c r="G165">
        <v>90</v>
      </c>
      <c r="H165">
        <v>5</v>
      </c>
      <c r="I165" t="s">
        <v>19</v>
      </c>
      <c r="J165" t="s">
        <v>45</v>
      </c>
      <c r="K165">
        <v>68</v>
      </c>
      <c r="L165">
        <v>8000</v>
      </c>
      <c r="M165" t="s">
        <v>17</v>
      </c>
    </row>
    <row r="166" spans="1:13" x14ac:dyDescent="0.3">
      <c r="A166">
        <v>165</v>
      </c>
      <c r="B166" t="s">
        <v>13</v>
      </c>
      <c r="C166">
        <v>40</v>
      </c>
      <c r="D166" t="s">
        <v>42</v>
      </c>
      <c r="E166">
        <v>7.9</v>
      </c>
      <c r="F166">
        <v>8</v>
      </c>
      <c r="G166">
        <v>90</v>
      </c>
      <c r="H166">
        <v>5</v>
      </c>
      <c r="I166" t="s">
        <v>19</v>
      </c>
      <c r="J166" t="s">
        <v>45</v>
      </c>
      <c r="K166">
        <v>68</v>
      </c>
      <c r="L166">
        <v>8000</v>
      </c>
      <c r="M166" t="s">
        <v>17</v>
      </c>
    </row>
    <row r="167" spans="1:13" x14ac:dyDescent="0.3">
      <c r="A167">
        <v>166</v>
      </c>
      <c r="B167" t="s">
        <v>13</v>
      </c>
      <c r="C167">
        <v>41</v>
      </c>
      <c r="D167" t="s">
        <v>42</v>
      </c>
      <c r="E167">
        <v>7.6</v>
      </c>
      <c r="F167">
        <v>8</v>
      </c>
      <c r="G167">
        <v>90</v>
      </c>
      <c r="H167">
        <v>5</v>
      </c>
      <c r="I167" t="s">
        <v>19</v>
      </c>
      <c r="J167" t="s">
        <v>45</v>
      </c>
      <c r="K167">
        <v>70</v>
      </c>
      <c r="L167">
        <v>8000</v>
      </c>
      <c r="M167" t="s">
        <v>25</v>
      </c>
    </row>
    <row r="168" spans="1:13" x14ac:dyDescent="0.3">
      <c r="A168">
        <v>167</v>
      </c>
      <c r="B168" t="s">
        <v>13</v>
      </c>
      <c r="C168">
        <v>41</v>
      </c>
      <c r="D168" t="s">
        <v>34</v>
      </c>
      <c r="E168">
        <v>7.3</v>
      </c>
      <c r="F168">
        <v>8</v>
      </c>
      <c r="G168">
        <v>70</v>
      </c>
      <c r="H168">
        <v>6</v>
      </c>
      <c r="I168" t="s">
        <v>30</v>
      </c>
      <c r="J168" t="s">
        <v>48</v>
      </c>
      <c r="K168">
        <v>72</v>
      </c>
      <c r="L168">
        <v>6200</v>
      </c>
      <c r="M168" t="s">
        <v>17</v>
      </c>
    </row>
    <row r="169" spans="1:13" x14ac:dyDescent="0.3">
      <c r="A169">
        <v>168</v>
      </c>
      <c r="B169" t="s">
        <v>13</v>
      </c>
      <c r="C169">
        <v>41</v>
      </c>
      <c r="D169" t="s">
        <v>42</v>
      </c>
      <c r="E169">
        <v>7.1</v>
      </c>
      <c r="F169">
        <v>7</v>
      </c>
      <c r="G169">
        <v>55</v>
      </c>
      <c r="H169">
        <v>6</v>
      </c>
      <c r="I169" t="s">
        <v>15</v>
      </c>
      <c r="J169" t="s">
        <v>49</v>
      </c>
      <c r="K169">
        <v>72</v>
      </c>
      <c r="L169">
        <v>6000</v>
      </c>
      <c r="M169" t="s">
        <v>17</v>
      </c>
    </row>
    <row r="170" spans="1:13" x14ac:dyDescent="0.3">
      <c r="A170">
        <v>169</v>
      </c>
      <c r="B170" t="s">
        <v>13</v>
      </c>
      <c r="C170">
        <v>41</v>
      </c>
      <c r="D170" t="s">
        <v>42</v>
      </c>
      <c r="E170">
        <v>7.1</v>
      </c>
      <c r="F170">
        <v>7</v>
      </c>
      <c r="G170">
        <v>55</v>
      </c>
      <c r="H170">
        <v>6</v>
      </c>
      <c r="I170" t="s">
        <v>15</v>
      </c>
      <c r="J170" t="s">
        <v>49</v>
      </c>
      <c r="K170">
        <v>72</v>
      </c>
      <c r="L170">
        <v>6000</v>
      </c>
      <c r="M170" t="s">
        <v>17</v>
      </c>
    </row>
    <row r="171" spans="1:13" x14ac:dyDescent="0.3">
      <c r="A171">
        <v>170</v>
      </c>
      <c r="B171" t="s">
        <v>13</v>
      </c>
      <c r="C171">
        <v>41</v>
      </c>
      <c r="D171" t="s">
        <v>42</v>
      </c>
      <c r="E171">
        <v>7.7</v>
      </c>
      <c r="F171">
        <v>8</v>
      </c>
      <c r="G171">
        <v>90</v>
      </c>
      <c r="H171">
        <v>5</v>
      </c>
      <c r="I171" t="s">
        <v>19</v>
      </c>
      <c r="J171" t="s">
        <v>45</v>
      </c>
      <c r="K171">
        <v>70</v>
      </c>
      <c r="L171">
        <v>8000</v>
      </c>
      <c r="M171" t="s">
        <v>17</v>
      </c>
    </row>
    <row r="172" spans="1:13" x14ac:dyDescent="0.3">
      <c r="A172">
        <v>171</v>
      </c>
      <c r="B172" t="s">
        <v>13</v>
      </c>
      <c r="C172">
        <v>41</v>
      </c>
      <c r="D172" t="s">
        <v>42</v>
      </c>
      <c r="E172">
        <v>7.7</v>
      </c>
      <c r="F172">
        <v>8</v>
      </c>
      <c r="G172">
        <v>90</v>
      </c>
      <c r="H172">
        <v>5</v>
      </c>
      <c r="I172" t="s">
        <v>19</v>
      </c>
      <c r="J172" t="s">
        <v>45</v>
      </c>
      <c r="K172">
        <v>70</v>
      </c>
      <c r="L172">
        <v>8000</v>
      </c>
      <c r="M172" t="s">
        <v>17</v>
      </c>
    </row>
    <row r="173" spans="1:13" x14ac:dyDescent="0.3">
      <c r="A173">
        <v>172</v>
      </c>
      <c r="B173" t="s">
        <v>13</v>
      </c>
      <c r="C173">
        <v>41</v>
      </c>
      <c r="D173" t="s">
        <v>42</v>
      </c>
      <c r="E173">
        <v>7.7</v>
      </c>
      <c r="F173">
        <v>8</v>
      </c>
      <c r="G173">
        <v>90</v>
      </c>
      <c r="H173">
        <v>5</v>
      </c>
      <c r="I173" t="s">
        <v>19</v>
      </c>
      <c r="J173" t="s">
        <v>45</v>
      </c>
      <c r="K173">
        <v>70</v>
      </c>
      <c r="L173">
        <v>8000</v>
      </c>
      <c r="M173" t="s">
        <v>17</v>
      </c>
    </row>
    <row r="174" spans="1:13" x14ac:dyDescent="0.3">
      <c r="A174">
        <v>173</v>
      </c>
      <c r="B174" t="s">
        <v>13</v>
      </c>
      <c r="C174">
        <v>41</v>
      </c>
      <c r="D174" t="s">
        <v>42</v>
      </c>
      <c r="E174">
        <v>7.7</v>
      </c>
      <c r="F174">
        <v>8</v>
      </c>
      <c r="G174">
        <v>90</v>
      </c>
      <c r="H174">
        <v>5</v>
      </c>
      <c r="I174" t="s">
        <v>19</v>
      </c>
      <c r="J174" t="s">
        <v>45</v>
      </c>
      <c r="K174">
        <v>70</v>
      </c>
      <c r="L174">
        <v>8000</v>
      </c>
      <c r="M174" t="s">
        <v>17</v>
      </c>
    </row>
    <row r="175" spans="1:13" x14ac:dyDescent="0.3">
      <c r="A175">
        <v>174</v>
      </c>
      <c r="B175" t="s">
        <v>13</v>
      </c>
      <c r="C175">
        <v>41</v>
      </c>
      <c r="D175" t="s">
        <v>42</v>
      </c>
      <c r="E175">
        <v>7.7</v>
      </c>
      <c r="F175">
        <v>8</v>
      </c>
      <c r="G175">
        <v>90</v>
      </c>
      <c r="H175">
        <v>5</v>
      </c>
      <c r="I175" t="s">
        <v>19</v>
      </c>
      <c r="J175" t="s">
        <v>45</v>
      </c>
      <c r="K175">
        <v>70</v>
      </c>
      <c r="L175">
        <v>8000</v>
      </c>
      <c r="M175" t="s">
        <v>17</v>
      </c>
    </row>
    <row r="176" spans="1:13" x14ac:dyDescent="0.3">
      <c r="A176">
        <v>175</v>
      </c>
      <c r="B176" t="s">
        <v>13</v>
      </c>
      <c r="C176">
        <v>41</v>
      </c>
      <c r="D176" t="s">
        <v>42</v>
      </c>
      <c r="E176">
        <v>7.6</v>
      </c>
      <c r="F176">
        <v>8</v>
      </c>
      <c r="G176">
        <v>90</v>
      </c>
      <c r="H176">
        <v>5</v>
      </c>
      <c r="I176" t="s">
        <v>19</v>
      </c>
      <c r="J176" t="s">
        <v>45</v>
      </c>
      <c r="K176">
        <v>70</v>
      </c>
      <c r="L176">
        <v>8000</v>
      </c>
      <c r="M176" t="s">
        <v>17</v>
      </c>
    </row>
    <row r="177" spans="1:13" x14ac:dyDescent="0.3">
      <c r="A177">
        <v>176</v>
      </c>
      <c r="B177" t="s">
        <v>13</v>
      </c>
      <c r="C177">
        <v>41</v>
      </c>
      <c r="D177" t="s">
        <v>42</v>
      </c>
      <c r="E177">
        <v>7.6</v>
      </c>
      <c r="F177">
        <v>8</v>
      </c>
      <c r="G177">
        <v>90</v>
      </c>
      <c r="H177">
        <v>5</v>
      </c>
      <c r="I177" t="s">
        <v>19</v>
      </c>
      <c r="J177" t="s">
        <v>45</v>
      </c>
      <c r="K177">
        <v>70</v>
      </c>
      <c r="L177">
        <v>8000</v>
      </c>
      <c r="M177" t="s">
        <v>17</v>
      </c>
    </row>
    <row r="178" spans="1:13" x14ac:dyDescent="0.3">
      <c r="A178">
        <v>177</v>
      </c>
      <c r="B178" t="s">
        <v>13</v>
      </c>
      <c r="C178">
        <v>41</v>
      </c>
      <c r="D178" t="s">
        <v>42</v>
      </c>
      <c r="E178">
        <v>7.6</v>
      </c>
      <c r="F178">
        <v>8</v>
      </c>
      <c r="G178">
        <v>90</v>
      </c>
      <c r="H178">
        <v>5</v>
      </c>
      <c r="I178" t="s">
        <v>19</v>
      </c>
      <c r="J178" t="s">
        <v>45</v>
      </c>
      <c r="K178">
        <v>70</v>
      </c>
      <c r="L178">
        <v>8000</v>
      </c>
      <c r="M178" t="s">
        <v>17</v>
      </c>
    </row>
    <row r="179" spans="1:13" x14ac:dyDescent="0.3">
      <c r="A179">
        <v>178</v>
      </c>
      <c r="B179" t="s">
        <v>13</v>
      </c>
      <c r="C179">
        <v>42</v>
      </c>
      <c r="D179" t="s">
        <v>50</v>
      </c>
      <c r="E179">
        <v>6.5</v>
      </c>
      <c r="F179">
        <v>6</v>
      </c>
      <c r="G179">
        <v>45</v>
      </c>
      <c r="H179">
        <v>7</v>
      </c>
      <c r="I179" t="s">
        <v>15</v>
      </c>
      <c r="J179" t="s">
        <v>45</v>
      </c>
      <c r="K179">
        <v>72</v>
      </c>
      <c r="L179">
        <v>6000</v>
      </c>
      <c r="M179" t="s">
        <v>25</v>
      </c>
    </row>
    <row r="180" spans="1:13" x14ac:dyDescent="0.3">
      <c r="A180">
        <v>179</v>
      </c>
      <c r="B180" t="s">
        <v>13</v>
      </c>
      <c r="C180">
        <v>42</v>
      </c>
      <c r="D180" t="s">
        <v>42</v>
      </c>
      <c r="E180">
        <v>7.8</v>
      </c>
      <c r="F180">
        <v>8</v>
      </c>
      <c r="G180">
        <v>90</v>
      </c>
      <c r="H180">
        <v>5</v>
      </c>
      <c r="I180" t="s">
        <v>19</v>
      </c>
      <c r="J180" t="s">
        <v>45</v>
      </c>
      <c r="K180">
        <v>70</v>
      </c>
      <c r="L180">
        <v>8000</v>
      </c>
      <c r="M180" t="s">
        <v>17</v>
      </c>
    </row>
    <row r="181" spans="1:13" x14ac:dyDescent="0.3">
      <c r="A181">
        <v>180</v>
      </c>
      <c r="B181" t="s">
        <v>13</v>
      </c>
      <c r="C181">
        <v>42</v>
      </c>
      <c r="D181" t="s">
        <v>42</v>
      </c>
      <c r="E181">
        <v>7.8</v>
      </c>
      <c r="F181">
        <v>8</v>
      </c>
      <c r="G181">
        <v>90</v>
      </c>
      <c r="H181">
        <v>5</v>
      </c>
      <c r="I181" t="s">
        <v>19</v>
      </c>
      <c r="J181" t="s">
        <v>45</v>
      </c>
      <c r="K181">
        <v>70</v>
      </c>
      <c r="L181">
        <v>8000</v>
      </c>
      <c r="M181" t="s">
        <v>17</v>
      </c>
    </row>
    <row r="182" spans="1:13" x14ac:dyDescent="0.3">
      <c r="A182">
        <v>181</v>
      </c>
      <c r="B182" t="s">
        <v>13</v>
      </c>
      <c r="C182">
        <v>42</v>
      </c>
      <c r="D182" t="s">
        <v>42</v>
      </c>
      <c r="E182">
        <v>7.8</v>
      </c>
      <c r="F182">
        <v>8</v>
      </c>
      <c r="G182">
        <v>90</v>
      </c>
      <c r="H182">
        <v>5</v>
      </c>
      <c r="I182" t="s">
        <v>19</v>
      </c>
      <c r="J182" t="s">
        <v>45</v>
      </c>
      <c r="K182">
        <v>70</v>
      </c>
      <c r="L182">
        <v>8000</v>
      </c>
      <c r="M182" t="s">
        <v>17</v>
      </c>
    </row>
    <row r="183" spans="1:13" x14ac:dyDescent="0.3">
      <c r="A183">
        <v>182</v>
      </c>
      <c r="B183" t="s">
        <v>13</v>
      </c>
      <c r="C183">
        <v>42</v>
      </c>
      <c r="D183" t="s">
        <v>42</v>
      </c>
      <c r="E183">
        <v>7.8</v>
      </c>
      <c r="F183">
        <v>8</v>
      </c>
      <c r="G183">
        <v>90</v>
      </c>
      <c r="H183">
        <v>5</v>
      </c>
      <c r="I183" t="s">
        <v>19</v>
      </c>
      <c r="J183" t="s">
        <v>45</v>
      </c>
      <c r="K183">
        <v>70</v>
      </c>
      <c r="L183">
        <v>8000</v>
      </c>
      <c r="M183" t="s">
        <v>17</v>
      </c>
    </row>
    <row r="184" spans="1:13" x14ac:dyDescent="0.3">
      <c r="A184">
        <v>183</v>
      </c>
      <c r="B184" t="s">
        <v>13</v>
      </c>
      <c r="C184">
        <v>42</v>
      </c>
      <c r="D184" t="s">
        <v>42</v>
      </c>
      <c r="E184">
        <v>7.8</v>
      </c>
      <c r="F184">
        <v>8</v>
      </c>
      <c r="G184">
        <v>90</v>
      </c>
      <c r="H184">
        <v>5</v>
      </c>
      <c r="I184" t="s">
        <v>19</v>
      </c>
      <c r="J184" t="s">
        <v>45</v>
      </c>
      <c r="K184">
        <v>70</v>
      </c>
      <c r="L184">
        <v>8000</v>
      </c>
      <c r="M184" t="s">
        <v>17</v>
      </c>
    </row>
    <row r="185" spans="1:13" x14ac:dyDescent="0.3">
      <c r="A185">
        <v>184</v>
      </c>
      <c r="B185" t="s">
        <v>13</v>
      </c>
      <c r="C185">
        <v>42</v>
      </c>
      <c r="D185" t="s">
        <v>42</v>
      </c>
      <c r="E185">
        <v>7.8</v>
      </c>
      <c r="F185">
        <v>8</v>
      </c>
      <c r="G185">
        <v>90</v>
      </c>
      <c r="H185">
        <v>5</v>
      </c>
      <c r="I185" t="s">
        <v>19</v>
      </c>
      <c r="J185" t="s">
        <v>45</v>
      </c>
      <c r="K185">
        <v>70</v>
      </c>
      <c r="L185">
        <v>8000</v>
      </c>
      <c r="M185" t="s">
        <v>17</v>
      </c>
    </row>
    <row r="186" spans="1:13" x14ac:dyDescent="0.3">
      <c r="A186">
        <v>185</v>
      </c>
      <c r="B186" t="s">
        <v>28</v>
      </c>
      <c r="C186">
        <v>42</v>
      </c>
      <c r="D186" t="s">
        <v>26</v>
      </c>
      <c r="E186">
        <v>6.8</v>
      </c>
      <c r="F186">
        <v>6</v>
      </c>
      <c r="G186">
        <v>45</v>
      </c>
      <c r="H186">
        <v>7</v>
      </c>
      <c r="I186" t="s">
        <v>15</v>
      </c>
      <c r="J186" t="s">
        <v>45</v>
      </c>
      <c r="K186">
        <v>78</v>
      </c>
      <c r="L186">
        <v>5000</v>
      </c>
      <c r="M186" t="s">
        <v>24</v>
      </c>
    </row>
    <row r="187" spans="1:13" x14ac:dyDescent="0.3">
      <c r="A187">
        <v>186</v>
      </c>
      <c r="B187" t="s">
        <v>28</v>
      </c>
      <c r="C187">
        <v>42</v>
      </c>
      <c r="D187" t="s">
        <v>26</v>
      </c>
      <c r="E187">
        <v>6.8</v>
      </c>
      <c r="F187">
        <v>6</v>
      </c>
      <c r="G187">
        <v>45</v>
      </c>
      <c r="H187">
        <v>7</v>
      </c>
      <c r="I187" t="s">
        <v>15</v>
      </c>
      <c r="J187" t="s">
        <v>45</v>
      </c>
      <c r="K187">
        <v>78</v>
      </c>
      <c r="L187">
        <v>5000</v>
      </c>
      <c r="M187" t="s">
        <v>24</v>
      </c>
    </row>
    <row r="188" spans="1:13" x14ac:dyDescent="0.3">
      <c r="A188">
        <v>187</v>
      </c>
      <c r="B188" t="s">
        <v>28</v>
      </c>
      <c r="C188">
        <v>43</v>
      </c>
      <c r="D188" t="s">
        <v>26</v>
      </c>
      <c r="E188">
        <v>6.7</v>
      </c>
      <c r="F188">
        <v>7</v>
      </c>
      <c r="G188">
        <v>45</v>
      </c>
      <c r="H188">
        <v>4</v>
      </c>
      <c r="I188" t="s">
        <v>15</v>
      </c>
      <c r="J188" t="s">
        <v>51</v>
      </c>
      <c r="K188">
        <v>65</v>
      </c>
      <c r="L188">
        <v>6000</v>
      </c>
      <c r="M188" t="s">
        <v>25</v>
      </c>
    </row>
    <row r="189" spans="1:13" x14ac:dyDescent="0.3">
      <c r="A189">
        <v>188</v>
      </c>
      <c r="B189" t="s">
        <v>13</v>
      </c>
      <c r="C189">
        <v>43</v>
      </c>
      <c r="D189" t="s">
        <v>50</v>
      </c>
      <c r="E189">
        <v>6.3</v>
      </c>
      <c r="F189">
        <v>6</v>
      </c>
      <c r="G189">
        <v>45</v>
      </c>
      <c r="H189">
        <v>7</v>
      </c>
      <c r="I189" t="s">
        <v>15</v>
      </c>
      <c r="J189" t="s">
        <v>45</v>
      </c>
      <c r="K189">
        <v>72</v>
      </c>
      <c r="L189">
        <v>6000</v>
      </c>
      <c r="M189" t="s">
        <v>25</v>
      </c>
    </row>
    <row r="190" spans="1:13" x14ac:dyDescent="0.3">
      <c r="A190">
        <v>189</v>
      </c>
      <c r="B190" t="s">
        <v>28</v>
      </c>
      <c r="C190">
        <v>43</v>
      </c>
      <c r="D190" t="s">
        <v>26</v>
      </c>
      <c r="E190">
        <v>6.7</v>
      </c>
      <c r="F190">
        <v>7</v>
      </c>
      <c r="G190">
        <v>45</v>
      </c>
      <c r="H190">
        <v>4</v>
      </c>
      <c r="I190" t="s">
        <v>15</v>
      </c>
      <c r="J190" t="s">
        <v>51</v>
      </c>
      <c r="K190">
        <v>65</v>
      </c>
      <c r="L190">
        <v>6000</v>
      </c>
      <c r="M190" t="s">
        <v>25</v>
      </c>
    </row>
    <row r="191" spans="1:13" x14ac:dyDescent="0.3">
      <c r="A191">
        <v>190</v>
      </c>
      <c r="B191" t="s">
        <v>13</v>
      </c>
      <c r="C191">
        <v>43</v>
      </c>
      <c r="D191" t="s">
        <v>50</v>
      </c>
      <c r="E191">
        <v>6.5</v>
      </c>
      <c r="F191">
        <v>6</v>
      </c>
      <c r="G191">
        <v>45</v>
      </c>
      <c r="H191">
        <v>7</v>
      </c>
      <c r="I191" t="s">
        <v>15</v>
      </c>
      <c r="J191" t="s">
        <v>45</v>
      </c>
      <c r="K191">
        <v>72</v>
      </c>
      <c r="L191">
        <v>6000</v>
      </c>
      <c r="M191" t="s">
        <v>25</v>
      </c>
    </row>
    <row r="192" spans="1:13" x14ac:dyDescent="0.3">
      <c r="A192">
        <v>191</v>
      </c>
      <c r="B192" t="s">
        <v>28</v>
      </c>
      <c r="C192">
        <v>43</v>
      </c>
      <c r="D192" t="s">
        <v>26</v>
      </c>
      <c r="E192">
        <v>6.7</v>
      </c>
      <c r="F192">
        <v>7</v>
      </c>
      <c r="G192">
        <v>45</v>
      </c>
      <c r="H192">
        <v>4</v>
      </c>
      <c r="I192" t="s">
        <v>15</v>
      </c>
      <c r="J192" t="s">
        <v>51</v>
      </c>
      <c r="K192">
        <v>65</v>
      </c>
      <c r="L192">
        <v>6000</v>
      </c>
      <c r="M192" t="s">
        <v>25</v>
      </c>
    </row>
    <row r="193" spans="1:13" x14ac:dyDescent="0.3">
      <c r="A193">
        <v>192</v>
      </c>
      <c r="B193" t="s">
        <v>13</v>
      </c>
      <c r="C193">
        <v>43</v>
      </c>
      <c r="D193" t="s">
        <v>50</v>
      </c>
      <c r="E193">
        <v>6.4</v>
      </c>
      <c r="F193">
        <v>6</v>
      </c>
      <c r="G193">
        <v>45</v>
      </c>
      <c r="H193">
        <v>7</v>
      </c>
      <c r="I193" t="s">
        <v>15</v>
      </c>
      <c r="J193" t="s">
        <v>45</v>
      </c>
      <c r="K193">
        <v>72</v>
      </c>
      <c r="L193">
        <v>6000</v>
      </c>
      <c r="M193" t="s">
        <v>25</v>
      </c>
    </row>
    <row r="194" spans="1:13" x14ac:dyDescent="0.3">
      <c r="A194">
        <v>193</v>
      </c>
      <c r="B194" t="s">
        <v>13</v>
      </c>
      <c r="C194">
        <v>43</v>
      </c>
      <c r="D194" t="s">
        <v>50</v>
      </c>
      <c r="E194">
        <v>6.5</v>
      </c>
      <c r="F194">
        <v>6</v>
      </c>
      <c r="G194">
        <v>45</v>
      </c>
      <c r="H194">
        <v>7</v>
      </c>
      <c r="I194" t="s">
        <v>15</v>
      </c>
      <c r="J194" t="s">
        <v>45</v>
      </c>
      <c r="K194">
        <v>72</v>
      </c>
      <c r="L194">
        <v>6000</v>
      </c>
      <c r="M194" t="s">
        <v>25</v>
      </c>
    </row>
    <row r="195" spans="1:13" x14ac:dyDescent="0.3">
      <c r="A195">
        <v>194</v>
      </c>
      <c r="B195" t="s">
        <v>13</v>
      </c>
      <c r="C195">
        <v>43</v>
      </c>
      <c r="D195" t="s">
        <v>50</v>
      </c>
      <c r="E195">
        <v>6.5</v>
      </c>
      <c r="F195">
        <v>6</v>
      </c>
      <c r="G195">
        <v>45</v>
      </c>
      <c r="H195">
        <v>7</v>
      </c>
      <c r="I195" t="s">
        <v>15</v>
      </c>
      <c r="J195" t="s">
        <v>45</v>
      </c>
      <c r="K195">
        <v>72</v>
      </c>
      <c r="L195">
        <v>6000</v>
      </c>
      <c r="M195" t="s">
        <v>25</v>
      </c>
    </row>
    <row r="196" spans="1:13" x14ac:dyDescent="0.3">
      <c r="A196">
        <v>195</v>
      </c>
      <c r="B196" t="s">
        <v>13</v>
      </c>
      <c r="C196">
        <v>43</v>
      </c>
      <c r="D196" t="s">
        <v>50</v>
      </c>
      <c r="E196">
        <v>6.5</v>
      </c>
      <c r="F196">
        <v>6</v>
      </c>
      <c r="G196">
        <v>45</v>
      </c>
      <c r="H196">
        <v>7</v>
      </c>
      <c r="I196" t="s">
        <v>15</v>
      </c>
      <c r="J196" t="s">
        <v>45</v>
      </c>
      <c r="K196">
        <v>72</v>
      </c>
      <c r="L196">
        <v>6000</v>
      </c>
      <c r="M196" t="s">
        <v>25</v>
      </c>
    </row>
    <row r="197" spans="1:13" x14ac:dyDescent="0.3">
      <c r="A197">
        <v>196</v>
      </c>
      <c r="B197" t="s">
        <v>13</v>
      </c>
      <c r="C197">
        <v>43</v>
      </c>
      <c r="D197" t="s">
        <v>50</v>
      </c>
      <c r="E197">
        <v>6.5</v>
      </c>
      <c r="F197">
        <v>6</v>
      </c>
      <c r="G197">
        <v>45</v>
      </c>
      <c r="H197">
        <v>7</v>
      </c>
      <c r="I197" t="s">
        <v>15</v>
      </c>
      <c r="J197" t="s">
        <v>45</v>
      </c>
      <c r="K197">
        <v>72</v>
      </c>
      <c r="L197">
        <v>6000</v>
      </c>
      <c r="M197" t="s">
        <v>25</v>
      </c>
    </row>
    <row r="198" spans="1:13" x14ac:dyDescent="0.3">
      <c r="A198">
        <v>197</v>
      </c>
      <c r="B198" t="s">
        <v>13</v>
      </c>
      <c r="C198">
        <v>43</v>
      </c>
      <c r="D198" t="s">
        <v>50</v>
      </c>
      <c r="E198">
        <v>6.5</v>
      </c>
      <c r="F198">
        <v>6</v>
      </c>
      <c r="G198">
        <v>45</v>
      </c>
      <c r="H198">
        <v>7</v>
      </c>
      <c r="I198" t="s">
        <v>15</v>
      </c>
      <c r="J198" t="s">
        <v>45</v>
      </c>
      <c r="K198">
        <v>72</v>
      </c>
      <c r="L198">
        <v>6000</v>
      </c>
      <c r="M198" t="s">
        <v>25</v>
      </c>
    </row>
    <row r="199" spans="1:13" x14ac:dyDescent="0.3">
      <c r="A199">
        <v>198</v>
      </c>
      <c r="B199" t="s">
        <v>13</v>
      </c>
      <c r="C199">
        <v>43</v>
      </c>
      <c r="D199" t="s">
        <v>50</v>
      </c>
      <c r="E199">
        <v>6.5</v>
      </c>
      <c r="F199">
        <v>6</v>
      </c>
      <c r="G199">
        <v>45</v>
      </c>
      <c r="H199">
        <v>7</v>
      </c>
      <c r="I199" t="s">
        <v>15</v>
      </c>
      <c r="J199" t="s">
        <v>45</v>
      </c>
      <c r="K199">
        <v>72</v>
      </c>
      <c r="L199">
        <v>6000</v>
      </c>
      <c r="M199" t="s">
        <v>25</v>
      </c>
    </row>
    <row r="200" spans="1:13" x14ac:dyDescent="0.3">
      <c r="A200">
        <v>199</v>
      </c>
      <c r="B200" t="s">
        <v>13</v>
      </c>
      <c r="C200">
        <v>43</v>
      </c>
      <c r="D200" t="s">
        <v>50</v>
      </c>
      <c r="E200">
        <v>6.5</v>
      </c>
      <c r="F200">
        <v>6</v>
      </c>
      <c r="G200">
        <v>45</v>
      </c>
      <c r="H200">
        <v>7</v>
      </c>
      <c r="I200" t="s">
        <v>15</v>
      </c>
      <c r="J200" t="s">
        <v>45</v>
      </c>
      <c r="K200">
        <v>72</v>
      </c>
      <c r="L200">
        <v>6000</v>
      </c>
      <c r="M200" t="s">
        <v>25</v>
      </c>
    </row>
    <row r="201" spans="1:13" x14ac:dyDescent="0.3">
      <c r="A201">
        <v>200</v>
      </c>
      <c r="B201" t="s">
        <v>13</v>
      </c>
      <c r="C201">
        <v>43</v>
      </c>
      <c r="D201" t="s">
        <v>50</v>
      </c>
      <c r="E201">
        <v>6.5</v>
      </c>
      <c r="F201">
        <v>6</v>
      </c>
      <c r="G201">
        <v>45</v>
      </c>
      <c r="H201">
        <v>7</v>
      </c>
      <c r="I201" t="s">
        <v>15</v>
      </c>
      <c r="J201" t="s">
        <v>45</v>
      </c>
      <c r="K201">
        <v>72</v>
      </c>
      <c r="L201">
        <v>6000</v>
      </c>
      <c r="M201" t="s">
        <v>25</v>
      </c>
    </row>
    <row r="202" spans="1:13" x14ac:dyDescent="0.3">
      <c r="A202">
        <v>201</v>
      </c>
      <c r="B202" t="s">
        <v>13</v>
      </c>
      <c r="C202">
        <v>43</v>
      </c>
      <c r="D202" t="s">
        <v>50</v>
      </c>
      <c r="E202">
        <v>6.5</v>
      </c>
      <c r="F202">
        <v>6</v>
      </c>
      <c r="G202">
        <v>45</v>
      </c>
      <c r="H202">
        <v>7</v>
      </c>
      <c r="I202" t="s">
        <v>15</v>
      </c>
      <c r="J202" t="s">
        <v>45</v>
      </c>
      <c r="K202">
        <v>72</v>
      </c>
      <c r="L202">
        <v>6000</v>
      </c>
      <c r="M202" t="s">
        <v>25</v>
      </c>
    </row>
    <row r="203" spans="1:13" x14ac:dyDescent="0.3">
      <c r="A203">
        <v>202</v>
      </c>
      <c r="B203" t="s">
        <v>13</v>
      </c>
      <c r="C203">
        <v>43</v>
      </c>
      <c r="D203" t="s">
        <v>34</v>
      </c>
      <c r="E203">
        <v>7.8</v>
      </c>
      <c r="F203">
        <v>8</v>
      </c>
      <c r="G203">
        <v>90</v>
      </c>
      <c r="H203">
        <v>5</v>
      </c>
      <c r="I203" t="s">
        <v>19</v>
      </c>
      <c r="J203" t="s">
        <v>45</v>
      </c>
      <c r="K203">
        <v>70</v>
      </c>
      <c r="L203">
        <v>8000</v>
      </c>
      <c r="M203" t="s">
        <v>25</v>
      </c>
    </row>
    <row r="204" spans="1:13" x14ac:dyDescent="0.3">
      <c r="A204">
        <v>203</v>
      </c>
      <c r="B204" t="s">
        <v>13</v>
      </c>
      <c r="C204">
        <v>43</v>
      </c>
      <c r="D204" t="s">
        <v>34</v>
      </c>
      <c r="E204">
        <v>7.8</v>
      </c>
      <c r="F204">
        <v>8</v>
      </c>
      <c r="G204">
        <v>90</v>
      </c>
      <c r="H204">
        <v>5</v>
      </c>
      <c r="I204" t="s">
        <v>19</v>
      </c>
      <c r="J204" t="s">
        <v>45</v>
      </c>
      <c r="K204">
        <v>70</v>
      </c>
      <c r="L204">
        <v>8000</v>
      </c>
      <c r="M204" t="s">
        <v>25</v>
      </c>
    </row>
    <row r="205" spans="1:13" x14ac:dyDescent="0.3">
      <c r="A205">
        <v>204</v>
      </c>
      <c r="B205" t="s">
        <v>13</v>
      </c>
      <c r="C205">
        <v>43</v>
      </c>
      <c r="D205" t="s">
        <v>34</v>
      </c>
      <c r="E205">
        <v>6.9</v>
      </c>
      <c r="F205">
        <v>6</v>
      </c>
      <c r="G205">
        <v>47</v>
      </c>
      <c r="H205">
        <v>7</v>
      </c>
      <c r="I205" t="s">
        <v>30</v>
      </c>
      <c r="J205" t="s">
        <v>33</v>
      </c>
      <c r="K205">
        <v>69</v>
      </c>
      <c r="L205">
        <v>6800</v>
      </c>
      <c r="M205" t="s">
        <v>17</v>
      </c>
    </row>
    <row r="206" spans="1:13" x14ac:dyDescent="0.3">
      <c r="A206">
        <v>205</v>
      </c>
      <c r="B206" t="s">
        <v>13</v>
      </c>
      <c r="C206">
        <v>43</v>
      </c>
      <c r="D206" t="s">
        <v>34</v>
      </c>
      <c r="E206">
        <v>7.6</v>
      </c>
      <c r="F206">
        <v>8</v>
      </c>
      <c r="G206">
        <v>75</v>
      </c>
      <c r="H206">
        <v>4</v>
      </c>
      <c r="I206" t="s">
        <v>15</v>
      </c>
      <c r="J206" t="s">
        <v>52</v>
      </c>
      <c r="K206">
        <v>68</v>
      </c>
      <c r="L206">
        <v>6800</v>
      </c>
      <c r="M206" t="s">
        <v>17</v>
      </c>
    </row>
    <row r="207" spans="1:13" x14ac:dyDescent="0.3">
      <c r="A207">
        <v>206</v>
      </c>
      <c r="B207" t="s">
        <v>13</v>
      </c>
      <c r="C207">
        <v>43</v>
      </c>
      <c r="D207" t="s">
        <v>34</v>
      </c>
      <c r="E207">
        <v>7.7</v>
      </c>
      <c r="F207">
        <v>8</v>
      </c>
      <c r="G207">
        <v>90</v>
      </c>
      <c r="H207">
        <v>5</v>
      </c>
      <c r="I207" t="s">
        <v>19</v>
      </c>
      <c r="J207" t="s">
        <v>45</v>
      </c>
      <c r="K207">
        <v>70</v>
      </c>
      <c r="L207">
        <v>8000</v>
      </c>
      <c r="M207" t="s">
        <v>17</v>
      </c>
    </row>
    <row r="208" spans="1:13" x14ac:dyDescent="0.3">
      <c r="A208">
        <v>207</v>
      </c>
      <c r="B208" t="s">
        <v>13</v>
      </c>
      <c r="C208">
        <v>43</v>
      </c>
      <c r="D208" t="s">
        <v>34</v>
      </c>
      <c r="E208">
        <v>7.7</v>
      </c>
      <c r="F208">
        <v>8</v>
      </c>
      <c r="G208">
        <v>90</v>
      </c>
      <c r="H208">
        <v>5</v>
      </c>
      <c r="I208" t="s">
        <v>19</v>
      </c>
      <c r="J208" t="s">
        <v>45</v>
      </c>
      <c r="K208">
        <v>70</v>
      </c>
      <c r="L208">
        <v>8000</v>
      </c>
      <c r="M208" t="s">
        <v>17</v>
      </c>
    </row>
    <row r="209" spans="1:13" x14ac:dyDescent="0.3">
      <c r="A209">
        <v>208</v>
      </c>
      <c r="B209" t="s">
        <v>13</v>
      </c>
      <c r="C209">
        <v>43</v>
      </c>
      <c r="D209" t="s">
        <v>34</v>
      </c>
      <c r="E209">
        <v>7.7</v>
      </c>
      <c r="F209">
        <v>8</v>
      </c>
      <c r="G209">
        <v>90</v>
      </c>
      <c r="H209">
        <v>5</v>
      </c>
      <c r="I209" t="s">
        <v>19</v>
      </c>
      <c r="J209" t="s">
        <v>45</v>
      </c>
      <c r="K209">
        <v>70</v>
      </c>
      <c r="L209">
        <v>8000</v>
      </c>
      <c r="M209" t="s">
        <v>17</v>
      </c>
    </row>
    <row r="210" spans="1:13" x14ac:dyDescent="0.3">
      <c r="A210">
        <v>209</v>
      </c>
      <c r="B210" t="s">
        <v>13</v>
      </c>
      <c r="C210">
        <v>43</v>
      </c>
      <c r="D210" t="s">
        <v>34</v>
      </c>
      <c r="E210">
        <v>7.7</v>
      </c>
      <c r="F210">
        <v>8</v>
      </c>
      <c r="G210">
        <v>90</v>
      </c>
      <c r="H210">
        <v>5</v>
      </c>
      <c r="I210" t="s">
        <v>19</v>
      </c>
      <c r="J210" t="s">
        <v>45</v>
      </c>
      <c r="K210">
        <v>70</v>
      </c>
      <c r="L210">
        <v>8000</v>
      </c>
      <c r="M210" t="s">
        <v>17</v>
      </c>
    </row>
    <row r="211" spans="1:13" x14ac:dyDescent="0.3">
      <c r="A211">
        <v>210</v>
      </c>
      <c r="B211" t="s">
        <v>13</v>
      </c>
      <c r="C211">
        <v>43</v>
      </c>
      <c r="D211" t="s">
        <v>34</v>
      </c>
      <c r="E211">
        <v>7.8</v>
      </c>
      <c r="F211">
        <v>8</v>
      </c>
      <c r="G211">
        <v>90</v>
      </c>
      <c r="H211">
        <v>5</v>
      </c>
      <c r="I211" t="s">
        <v>19</v>
      </c>
      <c r="J211" t="s">
        <v>45</v>
      </c>
      <c r="K211">
        <v>70</v>
      </c>
      <c r="L211">
        <v>8000</v>
      </c>
      <c r="M211" t="s">
        <v>17</v>
      </c>
    </row>
    <row r="212" spans="1:13" x14ac:dyDescent="0.3">
      <c r="A212">
        <v>211</v>
      </c>
      <c r="B212" t="s">
        <v>13</v>
      </c>
      <c r="C212">
        <v>43</v>
      </c>
      <c r="D212" t="s">
        <v>34</v>
      </c>
      <c r="E212">
        <v>7.7</v>
      </c>
      <c r="F212">
        <v>8</v>
      </c>
      <c r="G212">
        <v>90</v>
      </c>
      <c r="H212">
        <v>5</v>
      </c>
      <c r="I212" t="s">
        <v>19</v>
      </c>
      <c r="J212" t="s">
        <v>45</v>
      </c>
      <c r="K212">
        <v>70</v>
      </c>
      <c r="L212">
        <v>8000</v>
      </c>
      <c r="M212" t="s">
        <v>17</v>
      </c>
    </row>
    <row r="213" spans="1:13" x14ac:dyDescent="0.3">
      <c r="A213">
        <v>212</v>
      </c>
      <c r="B213" t="s">
        <v>13</v>
      </c>
      <c r="C213">
        <v>43</v>
      </c>
      <c r="D213" t="s">
        <v>34</v>
      </c>
      <c r="E213">
        <v>7.8</v>
      </c>
      <c r="F213">
        <v>8</v>
      </c>
      <c r="G213">
        <v>90</v>
      </c>
      <c r="H213">
        <v>5</v>
      </c>
      <c r="I213" t="s">
        <v>19</v>
      </c>
      <c r="J213" t="s">
        <v>45</v>
      </c>
      <c r="K213">
        <v>70</v>
      </c>
      <c r="L213">
        <v>8000</v>
      </c>
      <c r="M213" t="s">
        <v>17</v>
      </c>
    </row>
    <row r="214" spans="1:13" x14ac:dyDescent="0.3">
      <c r="A214">
        <v>213</v>
      </c>
      <c r="B214" t="s">
        <v>13</v>
      </c>
      <c r="C214">
        <v>43</v>
      </c>
      <c r="D214" t="s">
        <v>34</v>
      </c>
      <c r="E214">
        <v>7.8</v>
      </c>
      <c r="F214">
        <v>8</v>
      </c>
      <c r="G214">
        <v>90</v>
      </c>
      <c r="H214">
        <v>5</v>
      </c>
      <c r="I214" t="s">
        <v>19</v>
      </c>
      <c r="J214" t="s">
        <v>45</v>
      </c>
      <c r="K214">
        <v>70</v>
      </c>
      <c r="L214">
        <v>8000</v>
      </c>
      <c r="M214" t="s">
        <v>17</v>
      </c>
    </row>
    <row r="215" spans="1:13" x14ac:dyDescent="0.3">
      <c r="A215">
        <v>214</v>
      </c>
      <c r="B215" t="s">
        <v>13</v>
      </c>
      <c r="C215">
        <v>43</v>
      </c>
      <c r="D215" t="s">
        <v>34</v>
      </c>
      <c r="E215">
        <v>7.8</v>
      </c>
      <c r="F215">
        <v>8</v>
      </c>
      <c r="G215">
        <v>90</v>
      </c>
      <c r="H215">
        <v>5</v>
      </c>
      <c r="I215" t="s">
        <v>19</v>
      </c>
      <c r="J215" t="s">
        <v>45</v>
      </c>
      <c r="K215">
        <v>70</v>
      </c>
      <c r="L215">
        <v>8000</v>
      </c>
      <c r="M215" t="s">
        <v>17</v>
      </c>
    </row>
    <row r="216" spans="1:13" x14ac:dyDescent="0.3">
      <c r="A216">
        <v>215</v>
      </c>
      <c r="B216" t="s">
        <v>13</v>
      </c>
      <c r="C216">
        <v>43</v>
      </c>
      <c r="D216" t="s">
        <v>34</v>
      </c>
      <c r="E216">
        <v>7.8</v>
      </c>
      <c r="F216">
        <v>8</v>
      </c>
      <c r="G216">
        <v>90</v>
      </c>
      <c r="H216">
        <v>5</v>
      </c>
      <c r="I216" t="s">
        <v>19</v>
      </c>
      <c r="J216" t="s">
        <v>45</v>
      </c>
      <c r="K216">
        <v>70</v>
      </c>
      <c r="L216">
        <v>8000</v>
      </c>
      <c r="M216" t="s">
        <v>17</v>
      </c>
    </row>
    <row r="217" spans="1:13" x14ac:dyDescent="0.3">
      <c r="A217">
        <v>216</v>
      </c>
      <c r="B217" t="s">
        <v>13</v>
      </c>
      <c r="C217">
        <v>43</v>
      </c>
      <c r="D217" t="s">
        <v>34</v>
      </c>
      <c r="E217">
        <v>7.8</v>
      </c>
      <c r="F217">
        <v>8</v>
      </c>
      <c r="G217">
        <v>90</v>
      </c>
      <c r="H217">
        <v>5</v>
      </c>
      <c r="I217" t="s">
        <v>19</v>
      </c>
      <c r="J217" t="s">
        <v>45</v>
      </c>
      <c r="K217">
        <v>70</v>
      </c>
      <c r="L217">
        <v>8000</v>
      </c>
      <c r="M217" t="s">
        <v>17</v>
      </c>
    </row>
    <row r="218" spans="1:13" x14ac:dyDescent="0.3">
      <c r="A218">
        <v>217</v>
      </c>
      <c r="B218" t="s">
        <v>13</v>
      </c>
      <c r="C218">
        <v>43</v>
      </c>
      <c r="D218" t="s">
        <v>34</v>
      </c>
      <c r="E218">
        <v>7.8</v>
      </c>
      <c r="F218">
        <v>8</v>
      </c>
      <c r="G218">
        <v>90</v>
      </c>
      <c r="H218">
        <v>5</v>
      </c>
      <c r="I218" t="s">
        <v>19</v>
      </c>
      <c r="J218" t="s">
        <v>45</v>
      </c>
      <c r="K218">
        <v>70</v>
      </c>
      <c r="L218">
        <v>8000</v>
      </c>
      <c r="M218" t="s">
        <v>17</v>
      </c>
    </row>
    <row r="219" spans="1:13" x14ac:dyDescent="0.3">
      <c r="A219">
        <v>218</v>
      </c>
      <c r="B219" t="s">
        <v>13</v>
      </c>
      <c r="C219">
        <v>43</v>
      </c>
      <c r="D219" t="s">
        <v>34</v>
      </c>
      <c r="E219">
        <v>7.8</v>
      </c>
      <c r="F219">
        <v>8</v>
      </c>
      <c r="G219">
        <v>90</v>
      </c>
      <c r="H219">
        <v>5</v>
      </c>
      <c r="I219" t="s">
        <v>19</v>
      </c>
      <c r="J219" t="s">
        <v>45</v>
      </c>
      <c r="K219">
        <v>70</v>
      </c>
      <c r="L219">
        <v>8000</v>
      </c>
      <c r="M219" t="s">
        <v>17</v>
      </c>
    </row>
    <row r="220" spans="1:13" x14ac:dyDescent="0.3">
      <c r="A220">
        <v>219</v>
      </c>
      <c r="B220" t="s">
        <v>13</v>
      </c>
      <c r="C220">
        <v>43</v>
      </c>
      <c r="D220" t="s">
        <v>34</v>
      </c>
      <c r="E220">
        <v>7.8</v>
      </c>
      <c r="F220">
        <v>8</v>
      </c>
      <c r="G220">
        <v>90</v>
      </c>
      <c r="H220">
        <v>5</v>
      </c>
      <c r="I220" t="s">
        <v>19</v>
      </c>
      <c r="J220" t="s">
        <v>45</v>
      </c>
      <c r="K220">
        <v>70</v>
      </c>
      <c r="L220">
        <v>8000</v>
      </c>
      <c r="M220" t="s">
        <v>24</v>
      </c>
    </row>
    <row r="221" spans="1:13" x14ac:dyDescent="0.3">
      <c r="A221">
        <v>220</v>
      </c>
      <c r="B221" t="s">
        <v>13</v>
      </c>
      <c r="C221">
        <v>43</v>
      </c>
      <c r="D221" t="s">
        <v>50</v>
      </c>
      <c r="E221">
        <v>6.5</v>
      </c>
      <c r="F221">
        <v>6</v>
      </c>
      <c r="G221">
        <v>45</v>
      </c>
      <c r="H221">
        <v>7</v>
      </c>
      <c r="I221" t="s">
        <v>15</v>
      </c>
      <c r="J221" t="s">
        <v>45</v>
      </c>
      <c r="K221">
        <v>72</v>
      </c>
      <c r="L221">
        <v>6000</v>
      </c>
      <c r="M221" t="s">
        <v>24</v>
      </c>
    </row>
    <row r="222" spans="1:13" x14ac:dyDescent="0.3">
      <c r="A222">
        <v>221</v>
      </c>
      <c r="B222" t="s">
        <v>28</v>
      </c>
      <c r="C222">
        <v>44</v>
      </c>
      <c r="D222" t="s">
        <v>26</v>
      </c>
      <c r="E222">
        <v>6.6</v>
      </c>
      <c r="F222">
        <v>7</v>
      </c>
      <c r="G222">
        <v>45</v>
      </c>
      <c r="H222">
        <v>4</v>
      </c>
      <c r="I222" t="s">
        <v>15</v>
      </c>
      <c r="J222" t="s">
        <v>51</v>
      </c>
      <c r="K222">
        <v>65</v>
      </c>
      <c r="L222">
        <v>6000</v>
      </c>
      <c r="M222" t="s">
        <v>25</v>
      </c>
    </row>
    <row r="223" spans="1:13" x14ac:dyDescent="0.3">
      <c r="A223">
        <v>222</v>
      </c>
      <c r="B223" t="s">
        <v>13</v>
      </c>
      <c r="C223">
        <v>44</v>
      </c>
      <c r="D223" t="s">
        <v>50</v>
      </c>
      <c r="E223">
        <v>6.4</v>
      </c>
      <c r="F223">
        <v>6</v>
      </c>
      <c r="G223">
        <v>45</v>
      </c>
      <c r="H223">
        <v>7</v>
      </c>
      <c r="I223" t="s">
        <v>15</v>
      </c>
      <c r="J223" t="s">
        <v>45</v>
      </c>
      <c r="K223">
        <v>72</v>
      </c>
      <c r="L223">
        <v>6000</v>
      </c>
      <c r="M223" t="s">
        <v>25</v>
      </c>
    </row>
    <row r="224" spans="1:13" x14ac:dyDescent="0.3">
      <c r="A224">
        <v>223</v>
      </c>
      <c r="B224" t="s">
        <v>13</v>
      </c>
      <c r="C224">
        <v>44</v>
      </c>
      <c r="D224" t="s">
        <v>50</v>
      </c>
      <c r="E224">
        <v>6.3</v>
      </c>
      <c r="F224">
        <v>6</v>
      </c>
      <c r="G224">
        <v>45</v>
      </c>
      <c r="H224">
        <v>7</v>
      </c>
      <c r="I224" t="s">
        <v>15</v>
      </c>
      <c r="J224" t="s">
        <v>45</v>
      </c>
      <c r="K224">
        <v>72</v>
      </c>
      <c r="L224">
        <v>6000</v>
      </c>
      <c r="M224" t="s">
        <v>25</v>
      </c>
    </row>
    <row r="225" spans="1:13" x14ac:dyDescent="0.3">
      <c r="A225">
        <v>224</v>
      </c>
      <c r="B225" t="s">
        <v>13</v>
      </c>
      <c r="C225">
        <v>44</v>
      </c>
      <c r="D225" t="s">
        <v>50</v>
      </c>
      <c r="E225">
        <v>6.4</v>
      </c>
      <c r="F225">
        <v>6</v>
      </c>
      <c r="G225">
        <v>45</v>
      </c>
      <c r="H225">
        <v>7</v>
      </c>
      <c r="I225" t="s">
        <v>15</v>
      </c>
      <c r="J225" t="s">
        <v>45</v>
      </c>
      <c r="K225">
        <v>72</v>
      </c>
      <c r="L225">
        <v>6000</v>
      </c>
      <c r="M225" t="s">
        <v>25</v>
      </c>
    </row>
    <row r="226" spans="1:13" x14ac:dyDescent="0.3">
      <c r="A226">
        <v>225</v>
      </c>
      <c r="B226" t="s">
        <v>28</v>
      </c>
      <c r="C226">
        <v>44</v>
      </c>
      <c r="D226" t="s">
        <v>26</v>
      </c>
      <c r="E226">
        <v>6.6</v>
      </c>
      <c r="F226">
        <v>7</v>
      </c>
      <c r="G226">
        <v>45</v>
      </c>
      <c r="H226">
        <v>4</v>
      </c>
      <c r="I226" t="s">
        <v>15</v>
      </c>
      <c r="J226" t="s">
        <v>51</v>
      </c>
      <c r="K226">
        <v>65</v>
      </c>
      <c r="L226">
        <v>6000</v>
      </c>
      <c r="M226" t="s">
        <v>25</v>
      </c>
    </row>
    <row r="227" spans="1:13" x14ac:dyDescent="0.3">
      <c r="A227">
        <v>226</v>
      </c>
      <c r="B227" t="s">
        <v>13</v>
      </c>
      <c r="C227">
        <v>44</v>
      </c>
      <c r="D227" t="s">
        <v>50</v>
      </c>
      <c r="E227">
        <v>6.3</v>
      </c>
      <c r="F227">
        <v>6</v>
      </c>
      <c r="G227">
        <v>45</v>
      </c>
      <c r="H227">
        <v>7</v>
      </c>
      <c r="I227" t="s">
        <v>15</v>
      </c>
      <c r="J227" t="s">
        <v>45</v>
      </c>
      <c r="K227">
        <v>72</v>
      </c>
      <c r="L227">
        <v>6000</v>
      </c>
      <c r="M227" t="s">
        <v>25</v>
      </c>
    </row>
    <row r="228" spans="1:13" x14ac:dyDescent="0.3">
      <c r="A228">
        <v>227</v>
      </c>
      <c r="B228" t="s">
        <v>28</v>
      </c>
      <c r="C228">
        <v>44</v>
      </c>
      <c r="D228" t="s">
        <v>26</v>
      </c>
      <c r="E228">
        <v>6.6</v>
      </c>
      <c r="F228">
        <v>7</v>
      </c>
      <c r="G228">
        <v>45</v>
      </c>
      <c r="H228">
        <v>4</v>
      </c>
      <c r="I228" t="s">
        <v>15</v>
      </c>
      <c r="J228" t="s">
        <v>51</v>
      </c>
      <c r="K228">
        <v>65</v>
      </c>
      <c r="L228">
        <v>6000</v>
      </c>
      <c r="M228" t="s">
        <v>25</v>
      </c>
    </row>
    <row r="229" spans="1:13" x14ac:dyDescent="0.3">
      <c r="A229">
        <v>228</v>
      </c>
      <c r="B229" t="s">
        <v>13</v>
      </c>
      <c r="C229">
        <v>44</v>
      </c>
      <c r="D229" t="s">
        <v>50</v>
      </c>
      <c r="E229">
        <v>6.3</v>
      </c>
      <c r="F229">
        <v>6</v>
      </c>
      <c r="G229">
        <v>45</v>
      </c>
      <c r="H229">
        <v>7</v>
      </c>
      <c r="I229" t="s">
        <v>15</v>
      </c>
      <c r="J229" t="s">
        <v>45</v>
      </c>
      <c r="K229">
        <v>72</v>
      </c>
      <c r="L229">
        <v>6000</v>
      </c>
      <c r="M229" t="s">
        <v>25</v>
      </c>
    </row>
    <row r="230" spans="1:13" x14ac:dyDescent="0.3">
      <c r="A230">
        <v>229</v>
      </c>
      <c r="B230" t="s">
        <v>28</v>
      </c>
      <c r="C230">
        <v>44</v>
      </c>
      <c r="D230" t="s">
        <v>26</v>
      </c>
      <c r="E230">
        <v>6.6</v>
      </c>
      <c r="F230">
        <v>7</v>
      </c>
      <c r="G230">
        <v>45</v>
      </c>
      <c r="H230">
        <v>4</v>
      </c>
      <c r="I230" t="s">
        <v>15</v>
      </c>
      <c r="J230" t="s">
        <v>51</v>
      </c>
      <c r="K230">
        <v>65</v>
      </c>
      <c r="L230">
        <v>6000</v>
      </c>
      <c r="M230" t="s">
        <v>25</v>
      </c>
    </row>
    <row r="231" spans="1:13" x14ac:dyDescent="0.3">
      <c r="A231">
        <v>230</v>
      </c>
      <c r="B231" t="s">
        <v>13</v>
      </c>
      <c r="C231">
        <v>44</v>
      </c>
      <c r="D231" t="s">
        <v>50</v>
      </c>
      <c r="E231">
        <v>6.3</v>
      </c>
      <c r="F231">
        <v>6</v>
      </c>
      <c r="G231">
        <v>45</v>
      </c>
      <c r="H231">
        <v>7</v>
      </c>
      <c r="I231" t="s">
        <v>15</v>
      </c>
      <c r="J231" t="s">
        <v>45</v>
      </c>
      <c r="K231">
        <v>72</v>
      </c>
      <c r="L231">
        <v>6000</v>
      </c>
      <c r="M231" t="s">
        <v>25</v>
      </c>
    </row>
    <row r="232" spans="1:13" x14ac:dyDescent="0.3">
      <c r="A232">
        <v>231</v>
      </c>
      <c r="B232" t="s">
        <v>28</v>
      </c>
      <c r="C232">
        <v>44</v>
      </c>
      <c r="D232" t="s">
        <v>26</v>
      </c>
      <c r="E232">
        <v>6.6</v>
      </c>
      <c r="F232">
        <v>7</v>
      </c>
      <c r="G232">
        <v>45</v>
      </c>
      <c r="H232">
        <v>4</v>
      </c>
      <c r="I232" t="s">
        <v>15</v>
      </c>
      <c r="J232" t="s">
        <v>51</v>
      </c>
      <c r="K232">
        <v>65</v>
      </c>
      <c r="L232">
        <v>6000</v>
      </c>
      <c r="M232" t="s">
        <v>25</v>
      </c>
    </row>
    <row r="233" spans="1:13" x14ac:dyDescent="0.3">
      <c r="A233">
        <v>232</v>
      </c>
      <c r="B233" t="s">
        <v>13</v>
      </c>
      <c r="C233">
        <v>44</v>
      </c>
      <c r="D233" t="s">
        <v>50</v>
      </c>
      <c r="E233">
        <v>6.3</v>
      </c>
      <c r="F233">
        <v>6</v>
      </c>
      <c r="G233">
        <v>45</v>
      </c>
      <c r="H233">
        <v>7</v>
      </c>
      <c r="I233" t="s">
        <v>15</v>
      </c>
      <c r="J233" t="s">
        <v>45</v>
      </c>
      <c r="K233">
        <v>72</v>
      </c>
      <c r="L233">
        <v>6000</v>
      </c>
      <c r="M233" t="s">
        <v>25</v>
      </c>
    </row>
    <row r="234" spans="1:13" x14ac:dyDescent="0.3">
      <c r="A234">
        <v>233</v>
      </c>
      <c r="B234" t="s">
        <v>28</v>
      </c>
      <c r="C234">
        <v>44</v>
      </c>
      <c r="D234" t="s">
        <v>26</v>
      </c>
      <c r="E234">
        <v>6.6</v>
      </c>
      <c r="F234">
        <v>7</v>
      </c>
      <c r="G234">
        <v>45</v>
      </c>
      <c r="H234">
        <v>4</v>
      </c>
      <c r="I234" t="s">
        <v>15</v>
      </c>
      <c r="J234" t="s">
        <v>51</v>
      </c>
      <c r="K234">
        <v>65</v>
      </c>
      <c r="L234">
        <v>6000</v>
      </c>
      <c r="M234" t="s">
        <v>25</v>
      </c>
    </row>
    <row r="235" spans="1:13" x14ac:dyDescent="0.3">
      <c r="A235">
        <v>234</v>
      </c>
      <c r="B235" t="s">
        <v>13</v>
      </c>
      <c r="C235">
        <v>44</v>
      </c>
      <c r="D235" t="s">
        <v>50</v>
      </c>
      <c r="E235">
        <v>6.3</v>
      </c>
      <c r="F235">
        <v>6</v>
      </c>
      <c r="G235">
        <v>45</v>
      </c>
      <c r="H235">
        <v>7</v>
      </c>
      <c r="I235" t="s">
        <v>15</v>
      </c>
      <c r="J235" t="s">
        <v>45</v>
      </c>
      <c r="K235">
        <v>72</v>
      </c>
      <c r="L235">
        <v>6000</v>
      </c>
      <c r="M235" t="s">
        <v>25</v>
      </c>
    </row>
    <row r="236" spans="1:13" x14ac:dyDescent="0.3">
      <c r="A236">
        <v>235</v>
      </c>
      <c r="B236" t="s">
        <v>28</v>
      </c>
      <c r="C236">
        <v>44</v>
      </c>
      <c r="D236" t="s">
        <v>26</v>
      </c>
      <c r="E236">
        <v>6.6</v>
      </c>
      <c r="F236">
        <v>7</v>
      </c>
      <c r="G236">
        <v>45</v>
      </c>
      <c r="H236">
        <v>4</v>
      </c>
      <c r="I236" t="s">
        <v>15</v>
      </c>
      <c r="J236" t="s">
        <v>51</v>
      </c>
      <c r="K236">
        <v>65</v>
      </c>
      <c r="L236">
        <v>6000</v>
      </c>
      <c r="M236" t="s">
        <v>25</v>
      </c>
    </row>
    <row r="237" spans="1:13" x14ac:dyDescent="0.3">
      <c r="A237">
        <v>236</v>
      </c>
      <c r="B237" t="s">
        <v>13</v>
      </c>
      <c r="C237">
        <v>44</v>
      </c>
      <c r="D237" t="s">
        <v>50</v>
      </c>
      <c r="E237">
        <v>6.3</v>
      </c>
      <c r="F237">
        <v>6</v>
      </c>
      <c r="G237">
        <v>45</v>
      </c>
      <c r="H237">
        <v>7</v>
      </c>
      <c r="I237" t="s">
        <v>15</v>
      </c>
      <c r="J237" t="s">
        <v>45</v>
      </c>
      <c r="K237">
        <v>72</v>
      </c>
      <c r="L237">
        <v>6000</v>
      </c>
      <c r="M237" t="s">
        <v>25</v>
      </c>
    </row>
    <row r="238" spans="1:13" x14ac:dyDescent="0.3">
      <c r="A238">
        <v>237</v>
      </c>
      <c r="B238" t="s">
        <v>13</v>
      </c>
      <c r="C238">
        <v>44</v>
      </c>
      <c r="D238" t="s">
        <v>50</v>
      </c>
      <c r="E238">
        <v>6.4</v>
      </c>
      <c r="F238">
        <v>6</v>
      </c>
      <c r="G238">
        <v>45</v>
      </c>
      <c r="H238">
        <v>7</v>
      </c>
      <c r="I238" t="s">
        <v>15</v>
      </c>
      <c r="J238" t="s">
        <v>45</v>
      </c>
      <c r="K238">
        <v>72</v>
      </c>
      <c r="L238">
        <v>6000</v>
      </c>
      <c r="M238" t="s">
        <v>25</v>
      </c>
    </row>
    <row r="239" spans="1:13" x14ac:dyDescent="0.3">
      <c r="A239">
        <v>238</v>
      </c>
      <c r="B239" t="s">
        <v>28</v>
      </c>
      <c r="C239">
        <v>44</v>
      </c>
      <c r="D239" t="s">
        <v>26</v>
      </c>
      <c r="E239">
        <v>6.5</v>
      </c>
      <c r="F239">
        <v>7</v>
      </c>
      <c r="G239">
        <v>45</v>
      </c>
      <c r="H239">
        <v>4</v>
      </c>
      <c r="I239" t="s">
        <v>15</v>
      </c>
      <c r="J239" t="s">
        <v>51</v>
      </c>
      <c r="K239">
        <v>65</v>
      </c>
      <c r="L239">
        <v>6000</v>
      </c>
      <c r="M239" t="s">
        <v>25</v>
      </c>
    </row>
    <row r="240" spans="1:13" x14ac:dyDescent="0.3">
      <c r="A240">
        <v>239</v>
      </c>
      <c r="B240" t="s">
        <v>13</v>
      </c>
      <c r="C240">
        <v>44</v>
      </c>
      <c r="D240" t="s">
        <v>50</v>
      </c>
      <c r="E240">
        <v>6.3</v>
      </c>
      <c r="F240">
        <v>6</v>
      </c>
      <c r="G240">
        <v>45</v>
      </c>
      <c r="H240">
        <v>7</v>
      </c>
      <c r="I240" t="s">
        <v>15</v>
      </c>
      <c r="J240" t="s">
        <v>45</v>
      </c>
      <c r="K240">
        <v>72</v>
      </c>
      <c r="L240">
        <v>6000</v>
      </c>
      <c r="M240" t="s">
        <v>25</v>
      </c>
    </row>
    <row r="241" spans="1:13" x14ac:dyDescent="0.3">
      <c r="A241">
        <v>240</v>
      </c>
      <c r="B241" t="s">
        <v>13</v>
      </c>
      <c r="C241">
        <v>44</v>
      </c>
      <c r="D241" t="s">
        <v>50</v>
      </c>
      <c r="E241">
        <v>6.4</v>
      </c>
      <c r="F241">
        <v>6</v>
      </c>
      <c r="G241">
        <v>45</v>
      </c>
      <c r="H241">
        <v>7</v>
      </c>
      <c r="I241" t="s">
        <v>15</v>
      </c>
      <c r="J241" t="s">
        <v>45</v>
      </c>
      <c r="K241">
        <v>72</v>
      </c>
      <c r="L241">
        <v>6000</v>
      </c>
      <c r="M241" t="s">
        <v>25</v>
      </c>
    </row>
    <row r="242" spans="1:13" x14ac:dyDescent="0.3">
      <c r="A242">
        <v>241</v>
      </c>
      <c r="B242" t="s">
        <v>28</v>
      </c>
      <c r="C242">
        <v>44</v>
      </c>
      <c r="D242" t="s">
        <v>26</v>
      </c>
      <c r="E242">
        <v>6.5</v>
      </c>
      <c r="F242">
        <v>7</v>
      </c>
      <c r="G242">
        <v>45</v>
      </c>
      <c r="H242">
        <v>4</v>
      </c>
      <c r="I242" t="s">
        <v>15</v>
      </c>
      <c r="J242" t="s">
        <v>51</v>
      </c>
      <c r="K242">
        <v>65</v>
      </c>
      <c r="L242">
        <v>6000</v>
      </c>
      <c r="M242" t="s">
        <v>25</v>
      </c>
    </row>
    <row r="243" spans="1:13" x14ac:dyDescent="0.3">
      <c r="A243">
        <v>242</v>
      </c>
      <c r="B243" t="s">
        <v>13</v>
      </c>
      <c r="C243">
        <v>44</v>
      </c>
      <c r="D243" t="s">
        <v>50</v>
      </c>
      <c r="E243">
        <v>6.3</v>
      </c>
      <c r="F243">
        <v>6</v>
      </c>
      <c r="G243">
        <v>45</v>
      </c>
      <c r="H243">
        <v>7</v>
      </c>
      <c r="I243" t="s">
        <v>15</v>
      </c>
      <c r="J243" t="s">
        <v>45</v>
      </c>
      <c r="K243">
        <v>72</v>
      </c>
      <c r="L243">
        <v>6000</v>
      </c>
      <c r="M243" t="s">
        <v>25</v>
      </c>
    </row>
    <row r="244" spans="1:13" x14ac:dyDescent="0.3">
      <c r="A244">
        <v>243</v>
      </c>
      <c r="B244" t="s">
        <v>13</v>
      </c>
      <c r="C244">
        <v>44</v>
      </c>
      <c r="D244" t="s">
        <v>50</v>
      </c>
      <c r="E244">
        <v>6.4</v>
      </c>
      <c r="F244">
        <v>6</v>
      </c>
      <c r="G244">
        <v>45</v>
      </c>
      <c r="H244">
        <v>7</v>
      </c>
      <c r="I244" t="s">
        <v>15</v>
      </c>
      <c r="J244" t="s">
        <v>45</v>
      </c>
      <c r="K244">
        <v>72</v>
      </c>
      <c r="L244">
        <v>6000</v>
      </c>
      <c r="M244" t="s">
        <v>25</v>
      </c>
    </row>
    <row r="245" spans="1:13" x14ac:dyDescent="0.3">
      <c r="A245">
        <v>244</v>
      </c>
      <c r="B245" t="s">
        <v>28</v>
      </c>
      <c r="C245">
        <v>44</v>
      </c>
      <c r="D245" t="s">
        <v>26</v>
      </c>
      <c r="E245">
        <v>6.5</v>
      </c>
      <c r="F245">
        <v>7</v>
      </c>
      <c r="G245">
        <v>45</v>
      </c>
      <c r="H245">
        <v>4</v>
      </c>
      <c r="I245" t="s">
        <v>15</v>
      </c>
      <c r="J245" t="s">
        <v>51</v>
      </c>
      <c r="K245">
        <v>65</v>
      </c>
      <c r="L245">
        <v>6000</v>
      </c>
      <c r="M245" t="s">
        <v>25</v>
      </c>
    </row>
    <row r="246" spans="1:13" x14ac:dyDescent="0.3">
      <c r="A246">
        <v>245</v>
      </c>
      <c r="B246" t="s">
        <v>13</v>
      </c>
      <c r="C246">
        <v>44</v>
      </c>
      <c r="D246" t="s">
        <v>50</v>
      </c>
      <c r="E246">
        <v>6.3</v>
      </c>
      <c r="F246">
        <v>6</v>
      </c>
      <c r="G246">
        <v>45</v>
      </c>
      <c r="H246">
        <v>7</v>
      </c>
      <c r="I246" t="s">
        <v>15</v>
      </c>
      <c r="J246" t="s">
        <v>45</v>
      </c>
      <c r="K246">
        <v>72</v>
      </c>
      <c r="L246">
        <v>6000</v>
      </c>
      <c r="M246" t="s">
        <v>25</v>
      </c>
    </row>
    <row r="247" spans="1:13" x14ac:dyDescent="0.3">
      <c r="A247">
        <v>246</v>
      </c>
      <c r="B247" t="s">
        <v>28</v>
      </c>
      <c r="C247">
        <v>44</v>
      </c>
      <c r="D247" t="s">
        <v>26</v>
      </c>
      <c r="E247">
        <v>6.5</v>
      </c>
      <c r="F247">
        <v>7</v>
      </c>
      <c r="G247">
        <v>45</v>
      </c>
      <c r="H247">
        <v>4</v>
      </c>
      <c r="I247" t="s">
        <v>15</v>
      </c>
      <c r="J247" t="s">
        <v>51</v>
      </c>
      <c r="K247">
        <v>65</v>
      </c>
      <c r="L247">
        <v>6000</v>
      </c>
      <c r="M247" t="s">
        <v>25</v>
      </c>
    </row>
    <row r="248" spans="1:13" x14ac:dyDescent="0.3">
      <c r="A248">
        <v>247</v>
      </c>
      <c r="B248" t="s">
        <v>13</v>
      </c>
      <c r="C248">
        <v>44</v>
      </c>
      <c r="D248" t="s">
        <v>50</v>
      </c>
      <c r="E248">
        <v>6.3</v>
      </c>
      <c r="F248">
        <v>6</v>
      </c>
      <c r="G248">
        <v>45</v>
      </c>
      <c r="H248">
        <v>7</v>
      </c>
      <c r="I248" t="s">
        <v>15</v>
      </c>
      <c r="J248" t="s">
        <v>45</v>
      </c>
      <c r="K248">
        <v>72</v>
      </c>
      <c r="L248">
        <v>6000</v>
      </c>
      <c r="M248" t="s">
        <v>25</v>
      </c>
    </row>
    <row r="249" spans="1:13" x14ac:dyDescent="0.3">
      <c r="A249">
        <v>248</v>
      </c>
      <c r="B249" t="s">
        <v>13</v>
      </c>
      <c r="C249">
        <v>44</v>
      </c>
      <c r="D249" t="s">
        <v>34</v>
      </c>
      <c r="E249">
        <v>6.8</v>
      </c>
      <c r="F249">
        <v>7</v>
      </c>
      <c r="G249">
        <v>45</v>
      </c>
      <c r="H249">
        <v>7</v>
      </c>
      <c r="I249" t="s">
        <v>15</v>
      </c>
      <c r="J249" t="s">
        <v>45</v>
      </c>
      <c r="K249">
        <v>78</v>
      </c>
      <c r="L249">
        <v>5000</v>
      </c>
      <c r="M249" t="s">
        <v>25</v>
      </c>
    </row>
    <row r="250" spans="1:13" x14ac:dyDescent="0.3">
      <c r="A250">
        <v>249</v>
      </c>
      <c r="B250" t="s">
        <v>13</v>
      </c>
      <c r="C250">
        <v>44</v>
      </c>
      <c r="D250" t="s">
        <v>50</v>
      </c>
      <c r="E250">
        <v>6.4</v>
      </c>
      <c r="F250">
        <v>6</v>
      </c>
      <c r="G250">
        <v>45</v>
      </c>
      <c r="H250">
        <v>7</v>
      </c>
      <c r="I250" t="s">
        <v>15</v>
      </c>
      <c r="J250" t="s">
        <v>45</v>
      </c>
      <c r="K250">
        <v>72</v>
      </c>
      <c r="L250">
        <v>6000</v>
      </c>
      <c r="M250" t="s">
        <v>17</v>
      </c>
    </row>
    <row r="251" spans="1:13" x14ac:dyDescent="0.3">
      <c r="A251">
        <v>250</v>
      </c>
      <c r="B251" t="s">
        <v>13</v>
      </c>
      <c r="C251">
        <v>44</v>
      </c>
      <c r="D251" t="s">
        <v>50</v>
      </c>
      <c r="E251">
        <v>6.5</v>
      </c>
      <c r="F251">
        <v>6</v>
      </c>
      <c r="G251">
        <v>45</v>
      </c>
      <c r="H251">
        <v>7</v>
      </c>
      <c r="I251" t="s">
        <v>15</v>
      </c>
      <c r="J251" t="s">
        <v>45</v>
      </c>
      <c r="K251">
        <v>72</v>
      </c>
      <c r="L251">
        <v>6000</v>
      </c>
      <c r="M251" t="s">
        <v>17</v>
      </c>
    </row>
    <row r="252" spans="1:13" x14ac:dyDescent="0.3">
      <c r="A252">
        <v>251</v>
      </c>
      <c r="B252" t="s">
        <v>28</v>
      </c>
      <c r="C252">
        <v>45</v>
      </c>
      <c r="D252" t="s">
        <v>26</v>
      </c>
      <c r="E252">
        <v>6.8</v>
      </c>
      <c r="F252">
        <v>7</v>
      </c>
      <c r="G252">
        <v>30</v>
      </c>
      <c r="H252">
        <v>6</v>
      </c>
      <c r="I252" t="s">
        <v>15</v>
      </c>
      <c r="J252" t="s">
        <v>51</v>
      </c>
      <c r="K252">
        <v>65</v>
      </c>
      <c r="L252">
        <v>6000</v>
      </c>
      <c r="M252" t="s">
        <v>25</v>
      </c>
    </row>
    <row r="253" spans="1:13" x14ac:dyDescent="0.3">
      <c r="A253">
        <v>252</v>
      </c>
      <c r="B253" t="s">
        <v>28</v>
      </c>
      <c r="C253">
        <v>45</v>
      </c>
      <c r="D253" t="s">
        <v>26</v>
      </c>
      <c r="E253">
        <v>6.8</v>
      </c>
      <c r="F253">
        <v>7</v>
      </c>
      <c r="G253">
        <v>30</v>
      </c>
      <c r="H253">
        <v>6</v>
      </c>
      <c r="I253" t="s">
        <v>15</v>
      </c>
      <c r="J253" t="s">
        <v>51</v>
      </c>
      <c r="K253">
        <v>65</v>
      </c>
      <c r="L253">
        <v>6000</v>
      </c>
      <c r="M253" t="s">
        <v>25</v>
      </c>
    </row>
    <row r="254" spans="1:13" x14ac:dyDescent="0.3">
      <c r="A254">
        <v>253</v>
      </c>
      <c r="B254" t="s">
        <v>28</v>
      </c>
      <c r="C254">
        <v>45</v>
      </c>
      <c r="D254" t="s">
        <v>26</v>
      </c>
      <c r="E254">
        <v>6.5</v>
      </c>
      <c r="F254">
        <v>7</v>
      </c>
      <c r="G254">
        <v>45</v>
      </c>
      <c r="H254">
        <v>4</v>
      </c>
      <c r="I254" t="s">
        <v>15</v>
      </c>
      <c r="J254" t="s">
        <v>51</v>
      </c>
      <c r="K254">
        <v>65</v>
      </c>
      <c r="L254">
        <v>6000</v>
      </c>
      <c r="M254" t="s">
        <v>25</v>
      </c>
    </row>
    <row r="255" spans="1:13" x14ac:dyDescent="0.3">
      <c r="A255">
        <v>254</v>
      </c>
      <c r="B255" t="s">
        <v>28</v>
      </c>
      <c r="C255">
        <v>45</v>
      </c>
      <c r="D255" t="s">
        <v>26</v>
      </c>
      <c r="E255">
        <v>6.5</v>
      </c>
      <c r="F255">
        <v>7</v>
      </c>
      <c r="G255">
        <v>45</v>
      </c>
      <c r="H255">
        <v>4</v>
      </c>
      <c r="I255" t="s">
        <v>15</v>
      </c>
      <c r="J255" t="s">
        <v>51</v>
      </c>
      <c r="K255">
        <v>65</v>
      </c>
      <c r="L255">
        <v>6000</v>
      </c>
      <c r="M255" t="s">
        <v>25</v>
      </c>
    </row>
    <row r="256" spans="1:13" x14ac:dyDescent="0.3">
      <c r="A256">
        <v>255</v>
      </c>
      <c r="B256" t="s">
        <v>28</v>
      </c>
      <c r="C256">
        <v>45</v>
      </c>
      <c r="D256" t="s">
        <v>26</v>
      </c>
      <c r="E256">
        <v>6.5</v>
      </c>
      <c r="F256">
        <v>7</v>
      </c>
      <c r="G256">
        <v>45</v>
      </c>
      <c r="H256">
        <v>4</v>
      </c>
      <c r="I256" t="s">
        <v>15</v>
      </c>
      <c r="J256" t="s">
        <v>51</v>
      </c>
      <c r="K256">
        <v>65</v>
      </c>
      <c r="L256">
        <v>6000</v>
      </c>
      <c r="M256" t="s">
        <v>25</v>
      </c>
    </row>
    <row r="257" spans="1:13" x14ac:dyDescent="0.3">
      <c r="A257">
        <v>256</v>
      </c>
      <c r="B257" t="s">
        <v>28</v>
      </c>
      <c r="C257">
        <v>45</v>
      </c>
      <c r="D257" t="s">
        <v>26</v>
      </c>
      <c r="E257">
        <v>6.5</v>
      </c>
      <c r="F257">
        <v>7</v>
      </c>
      <c r="G257">
        <v>45</v>
      </c>
      <c r="H257">
        <v>4</v>
      </c>
      <c r="I257" t="s">
        <v>15</v>
      </c>
      <c r="J257" t="s">
        <v>51</v>
      </c>
      <c r="K257">
        <v>65</v>
      </c>
      <c r="L257">
        <v>6000</v>
      </c>
      <c r="M257" t="s">
        <v>25</v>
      </c>
    </row>
    <row r="258" spans="1:13" x14ac:dyDescent="0.3">
      <c r="A258">
        <v>257</v>
      </c>
      <c r="B258" t="s">
        <v>28</v>
      </c>
      <c r="C258">
        <v>45</v>
      </c>
      <c r="D258" t="s">
        <v>26</v>
      </c>
      <c r="E258">
        <v>6.6</v>
      </c>
      <c r="F258">
        <v>7</v>
      </c>
      <c r="G258">
        <v>45</v>
      </c>
      <c r="H258">
        <v>4</v>
      </c>
      <c r="I258" t="s">
        <v>15</v>
      </c>
      <c r="J258" t="s">
        <v>51</v>
      </c>
      <c r="K258">
        <v>65</v>
      </c>
      <c r="L258">
        <v>6000</v>
      </c>
      <c r="M258" t="s">
        <v>25</v>
      </c>
    </row>
    <row r="259" spans="1:13" x14ac:dyDescent="0.3">
      <c r="A259">
        <v>258</v>
      </c>
      <c r="B259" t="s">
        <v>28</v>
      </c>
      <c r="C259">
        <v>45</v>
      </c>
      <c r="D259" t="s">
        <v>26</v>
      </c>
      <c r="E259">
        <v>6.6</v>
      </c>
      <c r="F259">
        <v>7</v>
      </c>
      <c r="G259">
        <v>45</v>
      </c>
      <c r="H259">
        <v>4</v>
      </c>
      <c r="I259" t="s">
        <v>15</v>
      </c>
      <c r="J259" t="s">
        <v>51</v>
      </c>
      <c r="K259">
        <v>65</v>
      </c>
      <c r="L259">
        <v>6000</v>
      </c>
      <c r="M259" t="s">
        <v>25</v>
      </c>
    </row>
    <row r="260" spans="1:13" x14ac:dyDescent="0.3">
      <c r="A260">
        <v>259</v>
      </c>
      <c r="B260" t="s">
        <v>28</v>
      </c>
      <c r="C260">
        <v>45</v>
      </c>
      <c r="D260" t="s">
        <v>26</v>
      </c>
      <c r="E260">
        <v>6.6</v>
      </c>
      <c r="F260">
        <v>7</v>
      </c>
      <c r="G260">
        <v>45</v>
      </c>
      <c r="H260">
        <v>4</v>
      </c>
      <c r="I260" t="s">
        <v>15</v>
      </c>
      <c r="J260" t="s">
        <v>51</v>
      </c>
      <c r="K260">
        <v>65</v>
      </c>
      <c r="L260">
        <v>6000</v>
      </c>
      <c r="M260" t="s">
        <v>25</v>
      </c>
    </row>
    <row r="261" spans="1:13" x14ac:dyDescent="0.3">
      <c r="A261">
        <v>260</v>
      </c>
      <c r="B261" t="s">
        <v>28</v>
      </c>
      <c r="C261">
        <v>45</v>
      </c>
      <c r="D261" t="s">
        <v>26</v>
      </c>
      <c r="E261">
        <v>6.6</v>
      </c>
      <c r="F261">
        <v>7</v>
      </c>
      <c r="G261">
        <v>45</v>
      </c>
      <c r="H261">
        <v>4</v>
      </c>
      <c r="I261" t="s">
        <v>15</v>
      </c>
      <c r="J261" t="s">
        <v>51</v>
      </c>
      <c r="K261">
        <v>65</v>
      </c>
      <c r="L261">
        <v>6000</v>
      </c>
      <c r="M261" t="s">
        <v>25</v>
      </c>
    </row>
    <row r="262" spans="1:13" x14ac:dyDescent="0.3">
      <c r="A262">
        <v>261</v>
      </c>
      <c r="B262" t="s">
        <v>28</v>
      </c>
      <c r="C262">
        <v>45</v>
      </c>
      <c r="D262" t="s">
        <v>26</v>
      </c>
      <c r="E262">
        <v>6.6</v>
      </c>
      <c r="F262">
        <v>7</v>
      </c>
      <c r="G262">
        <v>45</v>
      </c>
      <c r="H262">
        <v>4</v>
      </c>
      <c r="I262" t="s">
        <v>15</v>
      </c>
      <c r="J262" t="s">
        <v>51</v>
      </c>
      <c r="K262">
        <v>65</v>
      </c>
      <c r="L262">
        <v>6000</v>
      </c>
      <c r="M262" t="s">
        <v>25</v>
      </c>
    </row>
    <row r="263" spans="1:13" x14ac:dyDescent="0.3">
      <c r="A263">
        <v>262</v>
      </c>
      <c r="B263" t="s">
        <v>28</v>
      </c>
      <c r="C263">
        <v>45</v>
      </c>
      <c r="D263" t="s">
        <v>26</v>
      </c>
      <c r="E263">
        <v>6.6</v>
      </c>
      <c r="F263">
        <v>7</v>
      </c>
      <c r="G263">
        <v>45</v>
      </c>
      <c r="H263">
        <v>4</v>
      </c>
      <c r="I263" t="s">
        <v>15</v>
      </c>
      <c r="J263" t="s">
        <v>51</v>
      </c>
      <c r="K263">
        <v>65</v>
      </c>
      <c r="L263">
        <v>6000</v>
      </c>
      <c r="M263" t="s">
        <v>17</v>
      </c>
    </row>
    <row r="264" spans="1:13" x14ac:dyDescent="0.3">
      <c r="A264">
        <v>263</v>
      </c>
      <c r="B264" t="s">
        <v>28</v>
      </c>
      <c r="C264">
        <v>45</v>
      </c>
      <c r="D264" t="s">
        <v>26</v>
      </c>
      <c r="E264">
        <v>6.6</v>
      </c>
      <c r="F264">
        <v>7</v>
      </c>
      <c r="G264">
        <v>45</v>
      </c>
      <c r="H264">
        <v>4</v>
      </c>
      <c r="I264" t="s">
        <v>15</v>
      </c>
      <c r="J264" t="s">
        <v>51</v>
      </c>
      <c r="K264">
        <v>65</v>
      </c>
      <c r="L264">
        <v>6000</v>
      </c>
      <c r="M264" t="s">
        <v>17</v>
      </c>
    </row>
    <row r="265" spans="1:13" x14ac:dyDescent="0.3">
      <c r="A265">
        <v>264</v>
      </c>
      <c r="B265" t="s">
        <v>28</v>
      </c>
      <c r="C265">
        <v>45</v>
      </c>
      <c r="D265" t="s">
        <v>53</v>
      </c>
      <c r="E265">
        <v>6.9</v>
      </c>
      <c r="F265">
        <v>7</v>
      </c>
      <c r="G265">
        <v>55</v>
      </c>
      <c r="H265">
        <v>5</v>
      </c>
      <c r="I265" t="s">
        <v>15</v>
      </c>
      <c r="J265" t="s">
        <v>49</v>
      </c>
      <c r="K265">
        <v>75</v>
      </c>
      <c r="L265">
        <v>5500</v>
      </c>
      <c r="M265" t="s">
        <v>17</v>
      </c>
    </row>
    <row r="266" spans="1:13" x14ac:dyDescent="0.3">
      <c r="A266">
        <v>265</v>
      </c>
      <c r="B266" t="s">
        <v>13</v>
      </c>
      <c r="C266">
        <v>48</v>
      </c>
      <c r="D266" t="s">
        <v>18</v>
      </c>
      <c r="E266">
        <v>7.3</v>
      </c>
      <c r="F266">
        <v>7</v>
      </c>
      <c r="G266">
        <v>65</v>
      </c>
      <c r="H266">
        <v>5</v>
      </c>
      <c r="I266" t="s">
        <v>22</v>
      </c>
      <c r="J266" t="s">
        <v>54</v>
      </c>
      <c r="K266">
        <v>83</v>
      </c>
      <c r="L266">
        <v>3500</v>
      </c>
      <c r="M266" t="s">
        <v>25</v>
      </c>
    </row>
    <row r="267" spans="1:13" x14ac:dyDescent="0.3">
      <c r="A267">
        <v>266</v>
      </c>
      <c r="B267" t="s">
        <v>28</v>
      </c>
      <c r="C267">
        <v>48</v>
      </c>
      <c r="D267" t="s">
        <v>29</v>
      </c>
      <c r="E267">
        <v>5.9</v>
      </c>
      <c r="F267">
        <v>6</v>
      </c>
      <c r="G267">
        <v>90</v>
      </c>
      <c r="H267">
        <v>8</v>
      </c>
      <c r="I267" t="s">
        <v>15</v>
      </c>
      <c r="J267" t="s">
        <v>55</v>
      </c>
      <c r="K267">
        <v>75</v>
      </c>
      <c r="L267">
        <v>10000</v>
      </c>
      <c r="M267" t="s">
        <v>24</v>
      </c>
    </row>
    <row r="268" spans="1:13" x14ac:dyDescent="0.3">
      <c r="A268">
        <v>267</v>
      </c>
      <c r="B268" t="s">
        <v>13</v>
      </c>
      <c r="C268">
        <v>48</v>
      </c>
      <c r="D268" t="s">
        <v>18</v>
      </c>
      <c r="E268">
        <v>7.3</v>
      </c>
      <c r="F268">
        <v>7</v>
      </c>
      <c r="G268">
        <v>65</v>
      </c>
      <c r="H268">
        <v>5</v>
      </c>
      <c r="I268" t="s">
        <v>22</v>
      </c>
      <c r="J268" t="s">
        <v>54</v>
      </c>
      <c r="K268">
        <v>83</v>
      </c>
      <c r="L268">
        <v>3500</v>
      </c>
      <c r="M268" t="s">
        <v>25</v>
      </c>
    </row>
    <row r="269" spans="1:13" x14ac:dyDescent="0.3">
      <c r="A269">
        <v>268</v>
      </c>
      <c r="B269" t="s">
        <v>28</v>
      </c>
      <c r="C269">
        <v>49</v>
      </c>
      <c r="D269" t="s">
        <v>29</v>
      </c>
      <c r="E269">
        <v>6.2</v>
      </c>
      <c r="F269">
        <v>6</v>
      </c>
      <c r="G269">
        <v>90</v>
      </c>
      <c r="H269">
        <v>8</v>
      </c>
      <c r="I269" t="s">
        <v>15</v>
      </c>
      <c r="J269" t="s">
        <v>55</v>
      </c>
      <c r="K269">
        <v>75</v>
      </c>
      <c r="L269">
        <v>10000</v>
      </c>
      <c r="M269" t="s">
        <v>17</v>
      </c>
    </row>
    <row r="270" spans="1:13" x14ac:dyDescent="0.3">
      <c r="A270">
        <v>269</v>
      </c>
      <c r="B270" t="s">
        <v>28</v>
      </c>
      <c r="C270">
        <v>49</v>
      </c>
      <c r="D270" t="s">
        <v>29</v>
      </c>
      <c r="E270">
        <v>6</v>
      </c>
      <c r="F270">
        <v>6</v>
      </c>
      <c r="G270">
        <v>90</v>
      </c>
      <c r="H270">
        <v>8</v>
      </c>
      <c r="I270" t="s">
        <v>15</v>
      </c>
      <c r="J270" t="s">
        <v>55</v>
      </c>
      <c r="K270">
        <v>75</v>
      </c>
      <c r="L270">
        <v>10000</v>
      </c>
      <c r="M270" t="s">
        <v>24</v>
      </c>
    </row>
    <row r="271" spans="1:13" x14ac:dyDescent="0.3">
      <c r="A271">
        <v>270</v>
      </c>
      <c r="B271" t="s">
        <v>28</v>
      </c>
      <c r="C271">
        <v>49</v>
      </c>
      <c r="D271" t="s">
        <v>29</v>
      </c>
      <c r="E271">
        <v>6.1</v>
      </c>
      <c r="F271">
        <v>6</v>
      </c>
      <c r="G271">
        <v>90</v>
      </c>
      <c r="H271">
        <v>8</v>
      </c>
      <c r="I271" t="s">
        <v>15</v>
      </c>
      <c r="J271" t="s">
        <v>55</v>
      </c>
      <c r="K271">
        <v>75</v>
      </c>
      <c r="L271">
        <v>10000</v>
      </c>
      <c r="M271" t="s">
        <v>24</v>
      </c>
    </row>
    <row r="272" spans="1:13" x14ac:dyDescent="0.3">
      <c r="A272">
        <v>271</v>
      </c>
      <c r="B272" t="s">
        <v>28</v>
      </c>
      <c r="C272">
        <v>49</v>
      </c>
      <c r="D272" t="s">
        <v>29</v>
      </c>
      <c r="E272">
        <v>6.1</v>
      </c>
      <c r="F272">
        <v>6</v>
      </c>
      <c r="G272">
        <v>90</v>
      </c>
      <c r="H272">
        <v>8</v>
      </c>
      <c r="I272" t="s">
        <v>15</v>
      </c>
      <c r="J272" t="s">
        <v>55</v>
      </c>
      <c r="K272">
        <v>75</v>
      </c>
      <c r="L272">
        <v>10000</v>
      </c>
      <c r="M272" t="s">
        <v>24</v>
      </c>
    </row>
    <row r="273" spans="1:13" x14ac:dyDescent="0.3">
      <c r="A273">
        <v>272</v>
      </c>
      <c r="B273" t="s">
        <v>28</v>
      </c>
      <c r="C273">
        <v>49</v>
      </c>
      <c r="D273" t="s">
        <v>29</v>
      </c>
      <c r="E273">
        <v>6.1</v>
      </c>
      <c r="F273">
        <v>6</v>
      </c>
      <c r="G273">
        <v>90</v>
      </c>
      <c r="H273">
        <v>8</v>
      </c>
      <c r="I273" t="s">
        <v>15</v>
      </c>
      <c r="J273" t="s">
        <v>55</v>
      </c>
      <c r="K273">
        <v>75</v>
      </c>
      <c r="L273">
        <v>10000</v>
      </c>
      <c r="M273" t="s">
        <v>24</v>
      </c>
    </row>
    <row r="274" spans="1:13" x14ac:dyDescent="0.3">
      <c r="A274">
        <v>273</v>
      </c>
      <c r="B274" t="s">
        <v>28</v>
      </c>
      <c r="C274">
        <v>49</v>
      </c>
      <c r="D274" t="s">
        <v>29</v>
      </c>
      <c r="E274">
        <v>6.1</v>
      </c>
      <c r="F274">
        <v>6</v>
      </c>
      <c r="G274">
        <v>90</v>
      </c>
      <c r="H274">
        <v>8</v>
      </c>
      <c r="I274" t="s">
        <v>15</v>
      </c>
      <c r="J274" t="s">
        <v>55</v>
      </c>
      <c r="K274">
        <v>75</v>
      </c>
      <c r="L274">
        <v>10000</v>
      </c>
      <c r="M274" t="s">
        <v>24</v>
      </c>
    </row>
    <row r="275" spans="1:13" x14ac:dyDescent="0.3">
      <c r="A275">
        <v>274</v>
      </c>
      <c r="B275" t="s">
        <v>28</v>
      </c>
      <c r="C275">
        <v>49</v>
      </c>
      <c r="D275" t="s">
        <v>29</v>
      </c>
      <c r="E275">
        <v>6.2</v>
      </c>
      <c r="F275">
        <v>6</v>
      </c>
      <c r="G275">
        <v>90</v>
      </c>
      <c r="H275">
        <v>8</v>
      </c>
      <c r="I275" t="s">
        <v>15</v>
      </c>
      <c r="J275" t="s">
        <v>55</v>
      </c>
      <c r="K275">
        <v>75</v>
      </c>
      <c r="L275">
        <v>10000</v>
      </c>
      <c r="M275" t="s">
        <v>24</v>
      </c>
    </row>
    <row r="276" spans="1:13" x14ac:dyDescent="0.3">
      <c r="A276">
        <v>275</v>
      </c>
      <c r="B276" t="s">
        <v>28</v>
      </c>
      <c r="C276">
        <v>49</v>
      </c>
      <c r="D276" t="s">
        <v>29</v>
      </c>
      <c r="E276">
        <v>6.2</v>
      </c>
      <c r="F276">
        <v>6</v>
      </c>
      <c r="G276">
        <v>90</v>
      </c>
      <c r="H276">
        <v>8</v>
      </c>
      <c r="I276" t="s">
        <v>15</v>
      </c>
      <c r="J276" t="s">
        <v>55</v>
      </c>
      <c r="K276">
        <v>75</v>
      </c>
      <c r="L276">
        <v>10000</v>
      </c>
      <c r="M276" t="s">
        <v>24</v>
      </c>
    </row>
    <row r="277" spans="1:13" x14ac:dyDescent="0.3">
      <c r="A277">
        <v>276</v>
      </c>
      <c r="B277" t="s">
        <v>28</v>
      </c>
      <c r="C277">
        <v>49</v>
      </c>
      <c r="D277" t="s">
        <v>29</v>
      </c>
      <c r="E277">
        <v>6.2</v>
      </c>
      <c r="F277">
        <v>6</v>
      </c>
      <c r="G277">
        <v>90</v>
      </c>
      <c r="H277">
        <v>8</v>
      </c>
      <c r="I277" t="s">
        <v>15</v>
      </c>
      <c r="J277" t="s">
        <v>55</v>
      </c>
      <c r="K277">
        <v>75</v>
      </c>
      <c r="L277">
        <v>10000</v>
      </c>
      <c r="M277" t="s">
        <v>24</v>
      </c>
    </row>
    <row r="278" spans="1:13" x14ac:dyDescent="0.3">
      <c r="A278">
        <v>277</v>
      </c>
      <c r="B278" t="s">
        <v>13</v>
      </c>
      <c r="C278">
        <v>49</v>
      </c>
      <c r="D278" t="s">
        <v>18</v>
      </c>
      <c r="E278">
        <v>8.1</v>
      </c>
      <c r="F278">
        <v>9</v>
      </c>
      <c r="G278">
        <v>85</v>
      </c>
      <c r="H278">
        <v>3</v>
      </c>
      <c r="I278" t="s">
        <v>22</v>
      </c>
      <c r="J278" t="s">
        <v>56</v>
      </c>
      <c r="K278">
        <v>86</v>
      </c>
      <c r="L278">
        <v>3700</v>
      </c>
      <c r="M278" t="s">
        <v>24</v>
      </c>
    </row>
    <row r="279" spans="1:13" x14ac:dyDescent="0.3">
      <c r="A279">
        <v>278</v>
      </c>
      <c r="B279" t="s">
        <v>13</v>
      </c>
      <c r="C279">
        <v>49</v>
      </c>
      <c r="D279" t="s">
        <v>18</v>
      </c>
      <c r="E279">
        <v>8.1</v>
      </c>
      <c r="F279">
        <v>9</v>
      </c>
      <c r="G279">
        <v>85</v>
      </c>
      <c r="H279">
        <v>3</v>
      </c>
      <c r="I279" t="s">
        <v>22</v>
      </c>
      <c r="J279" t="s">
        <v>56</v>
      </c>
      <c r="K279">
        <v>86</v>
      </c>
      <c r="L279">
        <v>3700</v>
      </c>
      <c r="M279" t="s">
        <v>24</v>
      </c>
    </row>
    <row r="280" spans="1:13" x14ac:dyDescent="0.3">
      <c r="A280">
        <v>279</v>
      </c>
      <c r="B280" t="s">
        <v>28</v>
      </c>
      <c r="C280">
        <v>50</v>
      </c>
      <c r="D280" t="s">
        <v>29</v>
      </c>
      <c r="E280">
        <v>6.1</v>
      </c>
      <c r="F280">
        <v>6</v>
      </c>
      <c r="G280">
        <v>90</v>
      </c>
      <c r="H280">
        <v>8</v>
      </c>
      <c r="I280" t="s">
        <v>15</v>
      </c>
      <c r="J280" t="s">
        <v>55</v>
      </c>
      <c r="K280">
        <v>75</v>
      </c>
      <c r="L280">
        <v>10000</v>
      </c>
      <c r="M280" t="s">
        <v>25</v>
      </c>
    </row>
    <row r="281" spans="1:13" x14ac:dyDescent="0.3">
      <c r="A281">
        <v>280</v>
      </c>
      <c r="B281" t="s">
        <v>28</v>
      </c>
      <c r="C281">
        <v>50</v>
      </c>
      <c r="D281" t="s">
        <v>34</v>
      </c>
      <c r="E281">
        <v>8.3000000000000007</v>
      </c>
      <c r="F281">
        <v>9</v>
      </c>
      <c r="G281">
        <v>30</v>
      </c>
      <c r="H281">
        <v>3</v>
      </c>
      <c r="I281" t="s">
        <v>19</v>
      </c>
      <c r="J281" t="s">
        <v>20</v>
      </c>
      <c r="K281">
        <v>65</v>
      </c>
      <c r="L281">
        <v>5000</v>
      </c>
      <c r="M281" t="s">
        <v>17</v>
      </c>
    </row>
    <row r="282" spans="1:13" x14ac:dyDescent="0.3">
      <c r="A282">
        <v>281</v>
      </c>
      <c r="B282" t="s">
        <v>28</v>
      </c>
      <c r="C282">
        <v>50</v>
      </c>
      <c r="D282" t="s">
        <v>29</v>
      </c>
      <c r="E282">
        <v>6</v>
      </c>
      <c r="F282">
        <v>6</v>
      </c>
      <c r="G282">
        <v>90</v>
      </c>
      <c r="H282">
        <v>8</v>
      </c>
      <c r="I282" t="s">
        <v>15</v>
      </c>
      <c r="J282" t="s">
        <v>55</v>
      </c>
      <c r="K282">
        <v>75</v>
      </c>
      <c r="L282">
        <v>10000</v>
      </c>
      <c r="M282" t="s">
        <v>17</v>
      </c>
    </row>
    <row r="283" spans="1:13" x14ac:dyDescent="0.3">
      <c r="A283">
        <v>282</v>
      </c>
      <c r="B283" t="s">
        <v>28</v>
      </c>
      <c r="C283">
        <v>50</v>
      </c>
      <c r="D283" t="s">
        <v>29</v>
      </c>
      <c r="E283">
        <v>6.1</v>
      </c>
      <c r="F283">
        <v>6</v>
      </c>
      <c r="G283">
        <v>90</v>
      </c>
      <c r="H283">
        <v>8</v>
      </c>
      <c r="I283" t="s">
        <v>15</v>
      </c>
      <c r="J283" t="s">
        <v>55</v>
      </c>
      <c r="K283">
        <v>75</v>
      </c>
      <c r="L283">
        <v>10000</v>
      </c>
      <c r="M283" t="s">
        <v>24</v>
      </c>
    </row>
    <row r="284" spans="1:13" x14ac:dyDescent="0.3">
      <c r="A284">
        <v>283</v>
      </c>
      <c r="B284" t="s">
        <v>28</v>
      </c>
      <c r="C284">
        <v>50</v>
      </c>
      <c r="D284" t="s">
        <v>29</v>
      </c>
      <c r="E284">
        <v>6</v>
      </c>
      <c r="F284">
        <v>6</v>
      </c>
      <c r="G284">
        <v>90</v>
      </c>
      <c r="H284">
        <v>8</v>
      </c>
      <c r="I284" t="s">
        <v>15</v>
      </c>
      <c r="J284" t="s">
        <v>55</v>
      </c>
      <c r="K284">
        <v>75</v>
      </c>
      <c r="L284">
        <v>10000</v>
      </c>
      <c r="M284" t="s">
        <v>24</v>
      </c>
    </row>
    <row r="285" spans="1:13" x14ac:dyDescent="0.3">
      <c r="A285">
        <v>284</v>
      </c>
      <c r="B285" t="s">
        <v>28</v>
      </c>
      <c r="C285">
        <v>50</v>
      </c>
      <c r="D285" t="s">
        <v>29</v>
      </c>
      <c r="E285">
        <v>6</v>
      </c>
      <c r="F285">
        <v>6</v>
      </c>
      <c r="G285">
        <v>90</v>
      </c>
      <c r="H285">
        <v>8</v>
      </c>
      <c r="I285" t="s">
        <v>15</v>
      </c>
      <c r="J285" t="s">
        <v>55</v>
      </c>
      <c r="K285">
        <v>75</v>
      </c>
      <c r="L285">
        <v>10000</v>
      </c>
      <c r="M285" t="s">
        <v>24</v>
      </c>
    </row>
    <row r="286" spans="1:13" x14ac:dyDescent="0.3">
      <c r="A286">
        <v>285</v>
      </c>
      <c r="B286" t="s">
        <v>28</v>
      </c>
      <c r="C286">
        <v>50</v>
      </c>
      <c r="D286" t="s">
        <v>29</v>
      </c>
      <c r="E286">
        <v>6</v>
      </c>
      <c r="F286">
        <v>6</v>
      </c>
      <c r="G286">
        <v>90</v>
      </c>
      <c r="H286">
        <v>8</v>
      </c>
      <c r="I286" t="s">
        <v>15</v>
      </c>
      <c r="J286" t="s">
        <v>55</v>
      </c>
      <c r="K286">
        <v>75</v>
      </c>
      <c r="L286">
        <v>10000</v>
      </c>
      <c r="M286" t="s">
        <v>24</v>
      </c>
    </row>
    <row r="287" spans="1:13" x14ac:dyDescent="0.3">
      <c r="A287">
        <v>286</v>
      </c>
      <c r="B287" t="s">
        <v>28</v>
      </c>
      <c r="C287">
        <v>50</v>
      </c>
      <c r="D287" t="s">
        <v>29</v>
      </c>
      <c r="E287">
        <v>6</v>
      </c>
      <c r="F287">
        <v>6</v>
      </c>
      <c r="G287">
        <v>90</v>
      </c>
      <c r="H287">
        <v>8</v>
      </c>
      <c r="I287" t="s">
        <v>15</v>
      </c>
      <c r="J287" t="s">
        <v>55</v>
      </c>
      <c r="K287">
        <v>75</v>
      </c>
      <c r="L287">
        <v>10000</v>
      </c>
      <c r="M287" t="s">
        <v>24</v>
      </c>
    </row>
    <row r="288" spans="1:13" x14ac:dyDescent="0.3">
      <c r="A288">
        <v>287</v>
      </c>
      <c r="B288" t="s">
        <v>28</v>
      </c>
      <c r="C288">
        <v>50</v>
      </c>
      <c r="D288" t="s">
        <v>29</v>
      </c>
      <c r="E288">
        <v>6</v>
      </c>
      <c r="F288">
        <v>6</v>
      </c>
      <c r="G288">
        <v>90</v>
      </c>
      <c r="H288">
        <v>8</v>
      </c>
      <c r="I288" t="s">
        <v>15</v>
      </c>
      <c r="J288" t="s">
        <v>55</v>
      </c>
      <c r="K288">
        <v>75</v>
      </c>
      <c r="L288">
        <v>10000</v>
      </c>
      <c r="M288" t="s">
        <v>24</v>
      </c>
    </row>
    <row r="289" spans="1:13" x14ac:dyDescent="0.3">
      <c r="A289">
        <v>288</v>
      </c>
      <c r="B289" t="s">
        <v>28</v>
      </c>
      <c r="C289">
        <v>50</v>
      </c>
      <c r="D289" t="s">
        <v>29</v>
      </c>
      <c r="E289">
        <v>6</v>
      </c>
      <c r="F289">
        <v>6</v>
      </c>
      <c r="G289">
        <v>90</v>
      </c>
      <c r="H289">
        <v>8</v>
      </c>
      <c r="I289" t="s">
        <v>15</v>
      </c>
      <c r="J289" t="s">
        <v>55</v>
      </c>
      <c r="K289">
        <v>75</v>
      </c>
      <c r="L289">
        <v>10000</v>
      </c>
      <c r="M289" t="s">
        <v>24</v>
      </c>
    </row>
    <row r="290" spans="1:13" x14ac:dyDescent="0.3">
      <c r="A290">
        <v>289</v>
      </c>
      <c r="B290" t="s">
        <v>28</v>
      </c>
      <c r="C290">
        <v>50</v>
      </c>
      <c r="D290" t="s">
        <v>29</v>
      </c>
      <c r="E290">
        <v>6</v>
      </c>
      <c r="F290">
        <v>6</v>
      </c>
      <c r="G290">
        <v>90</v>
      </c>
      <c r="H290">
        <v>8</v>
      </c>
      <c r="I290" t="s">
        <v>15</v>
      </c>
      <c r="J290" t="s">
        <v>55</v>
      </c>
      <c r="K290">
        <v>75</v>
      </c>
      <c r="L290">
        <v>10000</v>
      </c>
      <c r="M290" t="s">
        <v>24</v>
      </c>
    </row>
    <row r="291" spans="1:13" x14ac:dyDescent="0.3">
      <c r="A291">
        <v>290</v>
      </c>
      <c r="B291" t="s">
        <v>28</v>
      </c>
      <c r="C291">
        <v>50</v>
      </c>
      <c r="D291" t="s">
        <v>29</v>
      </c>
      <c r="E291">
        <v>6.1</v>
      </c>
      <c r="F291">
        <v>6</v>
      </c>
      <c r="G291">
        <v>90</v>
      </c>
      <c r="H291">
        <v>8</v>
      </c>
      <c r="I291" t="s">
        <v>15</v>
      </c>
      <c r="J291" t="s">
        <v>55</v>
      </c>
      <c r="K291">
        <v>75</v>
      </c>
      <c r="L291">
        <v>10000</v>
      </c>
      <c r="M291" t="s">
        <v>24</v>
      </c>
    </row>
    <row r="292" spans="1:13" x14ac:dyDescent="0.3">
      <c r="A292">
        <v>291</v>
      </c>
      <c r="B292" t="s">
        <v>28</v>
      </c>
      <c r="C292">
        <v>50</v>
      </c>
      <c r="D292" t="s">
        <v>29</v>
      </c>
      <c r="E292">
        <v>6</v>
      </c>
      <c r="F292">
        <v>6</v>
      </c>
      <c r="G292">
        <v>90</v>
      </c>
      <c r="H292">
        <v>8</v>
      </c>
      <c r="I292" t="s">
        <v>15</v>
      </c>
      <c r="J292" t="s">
        <v>55</v>
      </c>
      <c r="K292">
        <v>75</v>
      </c>
      <c r="L292">
        <v>10000</v>
      </c>
      <c r="M292" t="s">
        <v>24</v>
      </c>
    </row>
    <row r="293" spans="1:13" x14ac:dyDescent="0.3">
      <c r="A293">
        <v>292</v>
      </c>
      <c r="B293" t="s">
        <v>28</v>
      </c>
      <c r="C293">
        <v>50</v>
      </c>
      <c r="D293" t="s">
        <v>29</v>
      </c>
      <c r="E293">
        <v>6.1</v>
      </c>
      <c r="F293">
        <v>6</v>
      </c>
      <c r="G293">
        <v>90</v>
      </c>
      <c r="H293">
        <v>8</v>
      </c>
      <c r="I293" t="s">
        <v>15</v>
      </c>
      <c r="J293" t="s">
        <v>55</v>
      </c>
      <c r="K293">
        <v>75</v>
      </c>
      <c r="L293">
        <v>10000</v>
      </c>
      <c r="M293" t="s">
        <v>24</v>
      </c>
    </row>
    <row r="294" spans="1:13" x14ac:dyDescent="0.3">
      <c r="A294">
        <v>293</v>
      </c>
      <c r="B294" t="s">
        <v>28</v>
      </c>
      <c r="C294">
        <v>50</v>
      </c>
      <c r="D294" t="s">
        <v>29</v>
      </c>
      <c r="E294">
        <v>6.1</v>
      </c>
      <c r="F294">
        <v>6</v>
      </c>
      <c r="G294">
        <v>90</v>
      </c>
      <c r="H294">
        <v>8</v>
      </c>
      <c r="I294" t="s">
        <v>15</v>
      </c>
      <c r="J294" t="s">
        <v>55</v>
      </c>
      <c r="K294">
        <v>75</v>
      </c>
      <c r="L294">
        <v>10000</v>
      </c>
      <c r="M294" t="s">
        <v>24</v>
      </c>
    </row>
    <row r="295" spans="1:13" x14ac:dyDescent="0.3">
      <c r="A295">
        <v>294</v>
      </c>
      <c r="B295" t="s">
        <v>28</v>
      </c>
      <c r="C295">
        <v>50</v>
      </c>
      <c r="D295" t="s">
        <v>29</v>
      </c>
      <c r="E295">
        <v>6</v>
      </c>
      <c r="F295">
        <v>6</v>
      </c>
      <c r="G295">
        <v>90</v>
      </c>
      <c r="H295">
        <v>8</v>
      </c>
      <c r="I295" t="s">
        <v>15</v>
      </c>
      <c r="J295" t="s">
        <v>55</v>
      </c>
      <c r="K295">
        <v>75</v>
      </c>
      <c r="L295">
        <v>10000</v>
      </c>
      <c r="M295" t="s">
        <v>24</v>
      </c>
    </row>
    <row r="296" spans="1:13" x14ac:dyDescent="0.3">
      <c r="A296">
        <v>295</v>
      </c>
      <c r="B296" t="s">
        <v>28</v>
      </c>
      <c r="C296">
        <v>50</v>
      </c>
      <c r="D296" t="s">
        <v>29</v>
      </c>
      <c r="E296">
        <v>6.1</v>
      </c>
      <c r="F296">
        <v>6</v>
      </c>
      <c r="G296">
        <v>90</v>
      </c>
      <c r="H296">
        <v>8</v>
      </c>
      <c r="I296" t="s">
        <v>15</v>
      </c>
      <c r="J296" t="s">
        <v>55</v>
      </c>
      <c r="K296">
        <v>75</v>
      </c>
      <c r="L296">
        <v>10000</v>
      </c>
      <c r="M296" t="s">
        <v>24</v>
      </c>
    </row>
    <row r="297" spans="1:13" x14ac:dyDescent="0.3">
      <c r="A297">
        <v>296</v>
      </c>
      <c r="B297" t="s">
        <v>28</v>
      </c>
      <c r="C297">
        <v>50</v>
      </c>
      <c r="D297" t="s">
        <v>29</v>
      </c>
      <c r="E297">
        <v>6</v>
      </c>
      <c r="F297">
        <v>6</v>
      </c>
      <c r="G297">
        <v>90</v>
      </c>
      <c r="H297">
        <v>8</v>
      </c>
      <c r="I297" t="s">
        <v>15</v>
      </c>
      <c r="J297" t="s">
        <v>55</v>
      </c>
      <c r="K297">
        <v>75</v>
      </c>
      <c r="L297">
        <v>10000</v>
      </c>
      <c r="M297" t="s">
        <v>24</v>
      </c>
    </row>
    <row r="298" spans="1:13" x14ac:dyDescent="0.3">
      <c r="A298">
        <v>297</v>
      </c>
      <c r="B298" t="s">
        <v>28</v>
      </c>
      <c r="C298">
        <v>50</v>
      </c>
      <c r="D298" t="s">
        <v>29</v>
      </c>
      <c r="E298">
        <v>6.1</v>
      </c>
      <c r="F298">
        <v>6</v>
      </c>
      <c r="G298">
        <v>90</v>
      </c>
      <c r="H298">
        <v>8</v>
      </c>
      <c r="I298" t="s">
        <v>15</v>
      </c>
      <c r="J298" t="s">
        <v>55</v>
      </c>
      <c r="K298">
        <v>75</v>
      </c>
      <c r="L298">
        <v>10000</v>
      </c>
      <c r="M298" t="s">
        <v>24</v>
      </c>
    </row>
    <row r="299" spans="1:13" x14ac:dyDescent="0.3">
      <c r="A299">
        <v>298</v>
      </c>
      <c r="B299" t="s">
        <v>28</v>
      </c>
      <c r="C299">
        <v>50</v>
      </c>
      <c r="D299" t="s">
        <v>29</v>
      </c>
      <c r="E299">
        <v>6.1</v>
      </c>
      <c r="F299">
        <v>6</v>
      </c>
      <c r="G299">
        <v>90</v>
      </c>
      <c r="H299">
        <v>8</v>
      </c>
      <c r="I299" t="s">
        <v>15</v>
      </c>
      <c r="J299" t="s">
        <v>55</v>
      </c>
      <c r="K299">
        <v>75</v>
      </c>
      <c r="L299">
        <v>10000</v>
      </c>
      <c r="M299" t="s">
        <v>24</v>
      </c>
    </row>
    <row r="300" spans="1:13" x14ac:dyDescent="0.3">
      <c r="A300">
        <v>299</v>
      </c>
      <c r="B300" t="s">
        <v>28</v>
      </c>
      <c r="C300">
        <v>51</v>
      </c>
      <c r="D300" t="s">
        <v>34</v>
      </c>
      <c r="E300">
        <v>8.5</v>
      </c>
      <c r="F300">
        <v>9</v>
      </c>
      <c r="G300">
        <v>30</v>
      </c>
      <c r="H300">
        <v>3</v>
      </c>
      <c r="I300" t="s">
        <v>19</v>
      </c>
      <c r="J300" t="s">
        <v>20</v>
      </c>
      <c r="K300">
        <v>65</v>
      </c>
      <c r="L300">
        <v>5000</v>
      </c>
      <c r="M300" t="s">
        <v>17</v>
      </c>
    </row>
    <row r="301" spans="1:13" x14ac:dyDescent="0.3">
      <c r="A301">
        <v>300</v>
      </c>
      <c r="B301" t="s">
        <v>28</v>
      </c>
      <c r="C301">
        <v>51</v>
      </c>
      <c r="D301" t="s">
        <v>34</v>
      </c>
      <c r="E301">
        <v>8.5</v>
      </c>
      <c r="F301">
        <v>9</v>
      </c>
      <c r="G301">
        <v>30</v>
      </c>
      <c r="H301">
        <v>3</v>
      </c>
      <c r="I301" t="s">
        <v>19</v>
      </c>
      <c r="J301" t="s">
        <v>20</v>
      </c>
      <c r="K301">
        <v>65</v>
      </c>
      <c r="L301">
        <v>5000</v>
      </c>
      <c r="M301" t="s">
        <v>17</v>
      </c>
    </row>
    <row r="302" spans="1:13" x14ac:dyDescent="0.3">
      <c r="A302">
        <v>301</v>
      </c>
      <c r="B302" t="s">
        <v>28</v>
      </c>
      <c r="C302">
        <v>51</v>
      </c>
      <c r="D302" t="s">
        <v>34</v>
      </c>
      <c r="E302">
        <v>8.5</v>
      </c>
      <c r="F302">
        <v>9</v>
      </c>
      <c r="G302">
        <v>30</v>
      </c>
      <c r="H302">
        <v>3</v>
      </c>
      <c r="I302" t="s">
        <v>19</v>
      </c>
      <c r="J302" t="s">
        <v>20</v>
      </c>
      <c r="K302">
        <v>65</v>
      </c>
      <c r="L302">
        <v>5000</v>
      </c>
      <c r="M302" t="s">
        <v>17</v>
      </c>
    </row>
    <row r="303" spans="1:13" x14ac:dyDescent="0.3">
      <c r="A303">
        <v>302</v>
      </c>
      <c r="B303" t="s">
        <v>28</v>
      </c>
      <c r="C303">
        <v>51</v>
      </c>
      <c r="D303" t="s">
        <v>34</v>
      </c>
      <c r="E303">
        <v>8.5</v>
      </c>
      <c r="F303">
        <v>9</v>
      </c>
      <c r="G303">
        <v>30</v>
      </c>
      <c r="H303">
        <v>3</v>
      </c>
      <c r="I303" t="s">
        <v>19</v>
      </c>
      <c r="J303" t="s">
        <v>20</v>
      </c>
      <c r="K303">
        <v>65</v>
      </c>
      <c r="L303">
        <v>5000</v>
      </c>
      <c r="M303" t="s">
        <v>17</v>
      </c>
    </row>
    <row r="304" spans="1:13" x14ac:dyDescent="0.3">
      <c r="A304">
        <v>303</v>
      </c>
      <c r="B304" t="s">
        <v>28</v>
      </c>
      <c r="C304">
        <v>51</v>
      </c>
      <c r="D304" t="s">
        <v>29</v>
      </c>
      <c r="E304">
        <v>7.1</v>
      </c>
      <c r="F304">
        <v>7</v>
      </c>
      <c r="G304">
        <v>55</v>
      </c>
      <c r="H304">
        <v>6</v>
      </c>
      <c r="I304" t="s">
        <v>30</v>
      </c>
      <c r="J304" t="s">
        <v>49</v>
      </c>
      <c r="K304">
        <v>72</v>
      </c>
      <c r="L304">
        <v>6000</v>
      </c>
      <c r="M304" t="s">
        <v>17</v>
      </c>
    </row>
    <row r="305" spans="1:13" x14ac:dyDescent="0.3">
      <c r="A305">
        <v>304</v>
      </c>
      <c r="B305" t="s">
        <v>28</v>
      </c>
      <c r="C305">
        <v>51</v>
      </c>
      <c r="D305" t="s">
        <v>29</v>
      </c>
      <c r="E305">
        <v>6</v>
      </c>
      <c r="F305">
        <v>6</v>
      </c>
      <c r="G305">
        <v>90</v>
      </c>
      <c r="H305">
        <v>8</v>
      </c>
      <c r="I305" t="s">
        <v>15</v>
      </c>
      <c r="J305" t="s">
        <v>55</v>
      </c>
      <c r="K305">
        <v>75</v>
      </c>
      <c r="L305">
        <v>10000</v>
      </c>
      <c r="M305" t="s">
        <v>24</v>
      </c>
    </row>
    <row r="306" spans="1:13" x14ac:dyDescent="0.3">
      <c r="A306">
        <v>305</v>
      </c>
      <c r="B306" t="s">
        <v>28</v>
      </c>
      <c r="C306">
        <v>51</v>
      </c>
      <c r="D306" t="s">
        <v>29</v>
      </c>
      <c r="E306">
        <v>6.1</v>
      </c>
      <c r="F306">
        <v>6</v>
      </c>
      <c r="G306">
        <v>90</v>
      </c>
      <c r="H306">
        <v>8</v>
      </c>
      <c r="I306" t="s">
        <v>15</v>
      </c>
      <c r="J306" t="s">
        <v>55</v>
      </c>
      <c r="K306">
        <v>75</v>
      </c>
      <c r="L306">
        <v>10000</v>
      </c>
      <c r="M306" t="s">
        <v>24</v>
      </c>
    </row>
    <row r="307" spans="1:13" x14ac:dyDescent="0.3">
      <c r="A307">
        <v>306</v>
      </c>
      <c r="B307" t="s">
        <v>28</v>
      </c>
      <c r="C307">
        <v>51</v>
      </c>
      <c r="D307" t="s">
        <v>29</v>
      </c>
      <c r="E307">
        <v>6.1</v>
      </c>
      <c r="F307">
        <v>6</v>
      </c>
      <c r="G307">
        <v>90</v>
      </c>
      <c r="H307">
        <v>8</v>
      </c>
      <c r="I307" t="s">
        <v>15</v>
      </c>
      <c r="J307" t="s">
        <v>55</v>
      </c>
      <c r="K307">
        <v>75</v>
      </c>
      <c r="L307">
        <v>10000</v>
      </c>
      <c r="M307" t="s">
        <v>24</v>
      </c>
    </row>
    <row r="308" spans="1:13" x14ac:dyDescent="0.3">
      <c r="A308">
        <v>307</v>
      </c>
      <c r="B308" t="s">
        <v>28</v>
      </c>
      <c r="C308">
        <v>52</v>
      </c>
      <c r="D308" t="s">
        <v>35</v>
      </c>
      <c r="E308">
        <v>6.5</v>
      </c>
      <c r="F308">
        <v>7</v>
      </c>
      <c r="G308">
        <v>45</v>
      </c>
      <c r="H308">
        <v>7</v>
      </c>
      <c r="I308" t="s">
        <v>15</v>
      </c>
      <c r="J308" t="s">
        <v>45</v>
      </c>
      <c r="K308">
        <v>72</v>
      </c>
      <c r="L308">
        <v>6000</v>
      </c>
      <c r="M308" t="s">
        <v>25</v>
      </c>
    </row>
    <row r="309" spans="1:13" x14ac:dyDescent="0.3">
      <c r="A309">
        <v>308</v>
      </c>
      <c r="B309" t="s">
        <v>28</v>
      </c>
      <c r="C309">
        <v>52</v>
      </c>
      <c r="D309" t="s">
        <v>35</v>
      </c>
      <c r="E309">
        <v>6.5</v>
      </c>
      <c r="F309">
        <v>7</v>
      </c>
      <c r="G309">
        <v>45</v>
      </c>
      <c r="H309">
        <v>7</v>
      </c>
      <c r="I309" t="s">
        <v>15</v>
      </c>
      <c r="J309" t="s">
        <v>45</v>
      </c>
      <c r="K309">
        <v>72</v>
      </c>
      <c r="L309">
        <v>6000</v>
      </c>
      <c r="M309" t="s">
        <v>25</v>
      </c>
    </row>
    <row r="310" spans="1:13" x14ac:dyDescent="0.3">
      <c r="A310">
        <v>309</v>
      </c>
      <c r="B310" t="s">
        <v>28</v>
      </c>
      <c r="C310">
        <v>52</v>
      </c>
      <c r="D310" t="s">
        <v>35</v>
      </c>
      <c r="E310">
        <v>6.6</v>
      </c>
      <c r="F310">
        <v>7</v>
      </c>
      <c r="G310">
        <v>45</v>
      </c>
      <c r="H310">
        <v>7</v>
      </c>
      <c r="I310" t="s">
        <v>15</v>
      </c>
      <c r="J310" t="s">
        <v>45</v>
      </c>
      <c r="K310">
        <v>72</v>
      </c>
      <c r="L310">
        <v>6000</v>
      </c>
      <c r="M310" t="s">
        <v>25</v>
      </c>
    </row>
    <row r="311" spans="1:13" x14ac:dyDescent="0.3">
      <c r="A311">
        <v>310</v>
      </c>
      <c r="B311" t="s">
        <v>28</v>
      </c>
      <c r="C311">
        <v>52</v>
      </c>
      <c r="D311" t="s">
        <v>35</v>
      </c>
      <c r="E311">
        <v>6.6</v>
      </c>
      <c r="F311">
        <v>7</v>
      </c>
      <c r="G311">
        <v>45</v>
      </c>
      <c r="H311">
        <v>7</v>
      </c>
      <c r="I311" t="s">
        <v>15</v>
      </c>
      <c r="J311" t="s">
        <v>45</v>
      </c>
      <c r="K311">
        <v>72</v>
      </c>
      <c r="L311">
        <v>6000</v>
      </c>
      <c r="M311" t="s">
        <v>25</v>
      </c>
    </row>
    <row r="312" spans="1:13" x14ac:dyDescent="0.3">
      <c r="A312">
        <v>311</v>
      </c>
      <c r="B312" t="s">
        <v>28</v>
      </c>
      <c r="C312">
        <v>52</v>
      </c>
      <c r="D312" t="s">
        <v>35</v>
      </c>
      <c r="E312">
        <v>6.6</v>
      </c>
      <c r="F312">
        <v>7</v>
      </c>
      <c r="G312">
        <v>45</v>
      </c>
      <c r="H312">
        <v>7</v>
      </c>
      <c r="I312" t="s">
        <v>15</v>
      </c>
      <c r="J312" t="s">
        <v>45</v>
      </c>
      <c r="K312">
        <v>72</v>
      </c>
      <c r="L312">
        <v>6000</v>
      </c>
      <c r="M312" t="s">
        <v>25</v>
      </c>
    </row>
    <row r="313" spans="1:13" x14ac:dyDescent="0.3">
      <c r="A313">
        <v>312</v>
      </c>
      <c r="B313" t="s">
        <v>28</v>
      </c>
      <c r="C313">
        <v>52</v>
      </c>
      <c r="D313" t="s">
        <v>35</v>
      </c>
      <c r="E313">
        <v>6.6</v>
      </c>
      <c r="F313">
        <v>7</v>
      </c>
      <c r="G313">
        <v>45</v>
      </c>
      <c r="H313">
        <v>7</v>
      </c>
      <c r="I313" t="s">
        <v>15</v>
      </c>
      <c r="J313" t="s">
        <v>45</v>
      </c>
      <c r="K313">
        <v>72</v>
      </c>
      <c r="L313">
        <v>6000</v>
      </c>
      <c r="M313" t="s">
        <v>25</v>
      </c>
    </row>
    <row r="314" spans="1:13" x14ac:dyDescent="0.3">
      <c r="A314">
        <v>313</v>
      </c>
      <c r="B314" t="s">
        <v>28</v>
      </c>
      <c r="C314">
        <v>52</v>
      </c>
      <c r="D314" t="s">
        <v>34</v>
      </c>
      <c r="E314">
        <v>8.4</v>
      </c>
      <c r="F314">
        <v>9</v>
      </c>
      <c r="G314">
        <v>30</v>
      </c>
      <c r="H314">
        <v>3</v>
      </c>
      <c r="I314" t="s">
        <v>19</v>
      </c>
      <c r="J314" t="s">
        <v>20</v>
      </c>
      <c r="K314">
        <v>65</v>
      </c>
      <c r="L314">
        <v>5000</v>
      </c>
      <c r="M314" t="s">
        <v>17</v>
      </c>
    </row>
    <row r="315" spans="1:13" x14ac:dyDescent="0.3">
      <c r="A315">
        <v>314</v>
      </c>
      <c r="B315" t="s">
        <v>28</v>
      </c>
      <c r="C315">
        <v>52</v>
      </c>
      <c r="D315" t="s">
        <v>34</v>
      </c>
      <c r="E315">
        <v>8.4</v>
      </c>
      <c r="F315">
        <v>9</v>
      </c>
      <c r="G315">
        <v>30</v>
      </c>
      <c r="H315">
        <v>3</v>
      </c>
      <c r="I315" t="s">
        <v>19</v>
      </c>
      <c r="J315" t="s">
        <v>20</v>
      </c>
      <c r="K315">
        <v>65</v>
      </c>
      <c r="L315">
        <v>5000</v>
      </c>
      <c r="M315" t="s">
        <v>17</v>
      </c>
    </row>
    <row r="316" spans="1:13" x14ac:dyDescent="0.3">
      <c r="A316">
        <v>315</v>
      </c>
      <c r="B316" t="s">
        <v>28</v>
      </c>
      <c r="C316">
        <v>52</v>
      </c>
      <c r="D316" t="s">
        <v>34</v>
      </c>
      <c r="E316">
        <v>8.4</v>
      </c>
      <c r="F316">
        <v>9</v>
      </c>
      <c r="G316">
        <v>30</v>
      </c>
      <c r="H316">
        <v>3</v>
      </c>
      <c r="I316" t="s">
        <v>19</v>
      </c>
      <c r="J316" t="s">
        <v>20</v>
      </c>
      <c r="K316">
        <v>65</v>
      </c>
      <c r="L316">
        <v>5000</v>
      </c>
      <c r="M316" t="s">
        <v>17</v>
      </c>
    </row>
    <row r="317" spans="1:13" x14ac:dyDescent="0.3">
      <c r="A317">
        <v>316</v>
      </c>
      <c r="B317" t="s">
        <v>28</v>
      </c>
      <c r="C317">
        <v>53</v>
      </c>
      <c r="D317" t="s">
        <v>34</v>
      </c>
      <c r="E317">
        <v>8.3000000000000007</v>
      </c>
      <c r="F317">
        <v>9</v>
      </c>
      <c r="G317">
        <v>30</v>
      </c>
      <c r="H317">
        <v>3</v>
      </c>
      <c r="I317" t="s">
        <v>19</v>
      </c>
      <c r="J317" t="s">
        <v>20</v>
      </c>
      <c r="K317">
        <v>65</v>
      </c>
      <c r="L317">
        <v>5000</v>
      </c>
      <c r="M317" t="s">
        <v>25</v>
      </c>
    </row>
    <row r="318" spans="1:13" x14ac:dyDescent="0.3">
      <c r="A318">
        <v>317</v>
      </c>
      <c r="B318" t="s">
        <v>28</v>
      </c>
      <c r="C318">
        <v>53</v>
      </c>
      <c r="D318" t="s">
        <v>34</v>
      </c>
      <c r="E318">
        <v>8.5</v>
      </c>
      <c r="F318">
        <v>9</v>
      </c>
      <c r="G318">
        <v>30</v>
      </c>
      <c r="H318">
        <v>3</v>
      </c>
      <c r="I318" t="s">
        <v>19</v>
      </c>
      <c r="J318" t="s">
        <v>20</v>
      </c>
      <c r="K318">
        <v>65</v>
      </c>
      <c r="L318">
        <v>5000</v>
      </c>
      <c r="M318" t="s">
        <v>17</v>
      </c>
    </row>
    <row r="319" spans="1:13" x14ac:dyDescent="0.3">
      <c r="A319">
        <v>318</v>
      </c>
      <c r="B319" t="s">
        <v>28</v>
      </c>
      <c r="C319">
        <v>53</v>
      </c>
      <c r="D319" t="s">
        <v>34</v>
      </c>
      <c r="E319">
        <v>8.5</v>
      </c>
      <c r="F319">
        <v>9</v>
      </c>
      <c r="G319">
        <v>30</v>
      </c>
      <c r="H319">
        <v>3</v>
      </c>
      <c r="I319" t="s">
        <v>19</v>
      </c>
      <c r="J319" t="s">
        <v>20</v>
      </c>
      <c r="K319">
        <v>65</v>
      </c>
      <c r="L319">
        <v>5000</v>
      </c>
      <c r="M319" t="s">
        <v>17</v>
      </c>
    </row>
    <row r="320" spans="1:13" x14ac:dyDescent="0.3">
      <c r="A320">
        <v>319</v>
      </c>
      <c r="B320" t="s">
        <v>28</v>
      </c>
      <c r="C320">
        <v>53</v>
      </c>
      <c r="D320" t="s">
        <v>34</v>
      </c>
      <c r="E320">
        <v>8.4</v>
      </c>
      <c r="F320">
        <v>9</v>
      </c>
      <c r="G320">
        <v>30</v>
      </c>
      <c r="H320">
        <v>3</v>
      </c>
      <c r="I320" t="s">
        <v>19</v>
      </c>
      <c r="J320" t="s">
        <v>20</v>
      </c>
      <c r="K320">
        <v>65</v>
      </c>
      <c r="L320">
        <v>5000</v>
      </c>
      <c r="M320" t="s">
        <v>17</v>
      </c>
    </row>
    <row r="321" spans="1:13" x14ac:dyDescent="0.3">
      <c r="A321">
        <v>320</v>
      </c>
      <c r="B321" t="s">
        <v>28</v>
      </c>
      <c r="C321">
        <v>53</v>
      </c>
      <c r="D321" t="s">
        <v>34</v>
      </c>
      <c r="E321">
        <v>8.4</v>
      </c>
      <c r="F321">
        <v>9</v>
      </c>
      <c r="G321">
        <v>30</v>
      </c>
      <c r="H321">
        <v>3</v>
      </c>
      <c r="I321" t="s">
        <v>19</v>
      </c>
      <c r="J321" t="s">
        <v>20</v>
      </c>
      <c r="K321">
        <v>65</v>
      </c>
      <c r="L321">
        <v>5000</v>
      </c>
      <c r="M321" t="s">
        <v>17</v>
      </c>
    </row>
    <row r="322" spans="1:13" x14ac:dyDescent="0.3">
      <c r="A322">
        <v>321</v>
      </c>
      <c r="B322" t="s">
        <v>28</v>
      </c>
      <c r="C322">
        <v>53</v>
      </c>
      <c r="D322" t="s">
        <v>34</v>
      </c>
      <c r="E322">
        <v>8.5</v>
      </c>
      <c r="F322">
        <v>9</v>
      </c>
      <c r="G322">
        <v>30</v>
      </c>
      <c r="H322">
        <v>3</v>
      </c>
      <c r="I322" t="s">
        <v>19</v>
      </c>
      <c r="J322" t="s">
        <v>20</v>
      </c>
      <c r="K322">
        <v>65</v>
      </c>
      <c r="L322">
        <v>5000</v>
      </c>
      <c r="M322" t="s">
        <v>17</v>
      </c>
    </row>
    <row r="323" spans="1:13" x14ac:dyDescent="0.3">
      <c r="A323">
        <v>322</v>
      </c>
      <c r="B323" t="s">
        <v>28</v>
      </c>
      <c r="C323">
        <v>53</v>
      </c>
      <c r="D323" t="s">
        <v>34</v>
      </c>
      <c r="E323">
        <v>8.4</v>
      </c>
      <c r="F323">
        <v>9</v>
      </c>
      <c r="G323">
        <v>30</v>
      </c>
      <c r="H323">
        <v>3</v>
      </c>
      <c r="I323" t="s">
        <v>19</v>
      </c>
      <c r="J323" t="s">
        <v>20</v>
      </c>
      <c r="K323">
        <v>65</v>
      </c>
      <c r="L323">
        <v>5000</v>
      </c>
      <c r="M323" t="s">
        <v>17</v>
      </c>
    </row>
    <row r="324" spans="1:13" x14ac:dyDescent="0.3">
      <c r="A324">
        <v>323</v>
      </c>
      <c r="B324" t="s">
        <v>28</v>
      </c>
      <c r="C324">
        <v>53</v>
      </c>
      <c r="D324" t="s">
        <v>34</v>
      </c>
      <c r="E324">
        <v>8.4</v>
      </c>
      <c r="F324">
        <v>9</v>
      </c>
      <c r="G324">
        <v>30</v>
      </c>
      <c r="H324">
        <v>3</v>
      </c>
      <c r="I324" t="s">
        <v>19</v>
      </c>
      <c r="J324" t="s">
        <v>20</v>
      </c>
      <c r="K324">
        <v>65</v>
      </c>
      <c r="L324">
        <v>5000</v>
      </c>
      <c r="M324" t="s">
        <v>17</v>
      </c>
    </row>
    <row r="325" spans="1:13" x14ac:dyDescent="0.3">
      <c r="A325">
        <v>324</v>
      </c>
      <c r="B325" t="s">
        <v>28</v>
      </c>
      <c r="C325">
        <v>53</v>
      </c>
      <c r="D325" t="s">
        <v>34</v>
      </c>
      <c r="E325">
        <v>8.5</v>
      </c>
      <c r="F325">
        <v>9</v>
      </c>
      <c r="G325">
        <v>30</v>
      </c>
      <c r="H325">
        <v>3</v>
      </c>
      <c r="I325" t="s">
        <v>19</v>
      </c>
      <c r="J325" t="s">
        <v>20</v>
      </c>
      <c r="K325">
        <v>65</v>
      </c>
      <c r="L325">
        <v>5000</v>
      </c>
      <c r="M325" t="s">
        <v>17</v>
      </c>
    </row>
    <row r="326" spans="1:13" x14ac:dyDescent="0.3">
      <c r="A326">
        <v>325</v>
      </c>
      <c r="B326" t="s">
        <v>28</v>
      </c>
      <c r="C326">
        <v>53</v>
      </c>
      <c r="D326" t="s">
        <v>34</v>
      </c>
      <c r="E326">
        <v>8.3000000000000007</v>
      </c>
      <c r="F326">
        <v>9</v>
      </c>
      <c r="G326">
        <v>30</v>
      </c>
      <c r="H326">
        <v>3</v>
      </c>
      <c r="I326" t="s">
        <v>19</v>
      </c>
      <c r="J326" t="s">
        <v>20</v>
      </c>
      <c r="K326">
        <v>65</v>
      </c>
      <c r="L326">
        <v>5000</v>
      </c>
      <c r="M326" t="s">
        <v>17</v>
      </c>
    </row>
    <row r="327" spans="1:13" x14ac:dyDescent="0.3">
      <c r="A327">
        <v>326</v>
      </c>
      <c r="B327" t="s">
        <v>28</v>
      </c>
      <c r="C327">
        <v>53</v>
      </c>
      <c r="D327" t="s">
        <v>34</v>
      </c>
      <c r="E327">
        <v>8.5</v>
      </c>
      <c r="F327">
        <v>9</v>
      </c>
      <c r="G327">
        <v>30</v>
      </c>
      <c r="H327">
        <v>3</v>
      </c>
      <c r="I327" t="s">
        <v>19</v>
      </c>
      <c r="J327" t="s">
        <v>20</v>
      </c>
      <c r="K327">
        <v>65</v>
      </c>
      <c r="L327">
        <v>5000</v>
      </c>
      <c r="M327" t="s">
        <v>17</v>
      </c>
    </row>
    <row r="328" spans="1:13" x14ac:dyDescent="0.3">
      <c r="A328">
        <v>327</v>
      </c>
      <c r="B328" t="s">
        <v>28</v>
      </c>
      <c r="C328">
        <v>53</v>
      </c>
      <c r="D328" t="s">
        <v>34</v>
      </c>
      <c r="E328">
        <v>8.3000000000000007</v>
      </c>
      <c r="F328">
        <v>9</v>
      </c>
      <c r="G328">
        <v>30</v>
      </c>
      <c r="H328">
        <v>3</v>
      </c>
      <c r="I328" t="s">
        <v>19</v>
      </c>
      <c r="J328" t="s">
        <v>20</v>
      </c>
      <c r="K328">
        <v>65</v>
      </c>
      <c r="L328">
        <v>5000</v>
      </c>
      <c r="M328" t="s">
        <v>17</v>
      </c>
    </row>
    <row r="329" spans="1:13" x14ac:dyDescent="0.3">
      <c r="A329">
        <v>328</v>
      </c>
      <c r="B329" t="s">
        <v>28</v>
      </c>
      <c r="C329">
        <v>53</v>
      </c>
      <c r="D329" t="s">
        <v>34</v>
      </c>
      <c r="E329">
        <v>8.5</v>
      </c>
      <c r="F329">
        <v>9</v>
      </c>
      <c r="G329">
        <v>30</v>
      </c>
      <c r="H329">
        <v>3</v>
      </c>
      <c r="I329" t="s">
        <v>19</v>
      </c>
      <c r="J329" t="s">
        <v>20</v>
      </c>
      <c r="K329">
        <v>65</v>
      </c>
      <c r="L329">
        <v>5000</v>
      </c>
      <c r="M329" t="s">
        <v>17</v>
      </c>
    </row>
    <row r="330" spans="1:13" x14ac:dyDescent="0.3">
      <c r="A330">
        <v>329</v>
      </c>
      <c r="B330" t="s">
        <v>28</v>
      </c>
      <c r="C330">
        <v>53</v>
      </c>
      <c r="D330" t="s">
        <v>34</v>
      </c>
      <c r="E330">
        <v>8.3000000000000007</v>
      </c>
      <c r="F330">
        <v>9</v>
      </c>
      <c r="G330">
        <v>30</v>
      </c>
      <c r="H330">
        <v>3</v>
      </c>
      <c r="I330" t="s">
        <v>19</v>
      </c>
      <c r="J330" t="s">
        <v>20</v>
      </c>
      <c r="K330">
        <v>65</v>
      </c>
      <c r="L330">
        <v>5000</v>
      </c>
      <c r="M330" t="s">
        <v>17</v>
      </c>
    </row>
    <row r="331" spans="1:13" x14ac:dyDescent="0.3">
      <c r="A331">
        <v>330</v>
      </c>
      <c r="B331" t="s">
        <v>28</v>
      </c>
      <c r="C331">
        <v>53</v>
      </c>
      <c r="D331" t="s">
        <v>34</v>
      </c>
      <c r="E331">
        <v>8.5</v>
      </c>
      <c r="F331">
        <v>9</v>
      </c>
      <c r="G331">
        <v>30</v>
      </c>
      <c r="H331">
        <v>3</v>
      </c>
      <c r="I331" t="s">
        <v>19</v>
      </c>
      <c r="J331" t="s">
        <v>20</v>
      </c>
      <c r="K331">
        <v>65</v>
      </c>
      <c r="L331">
        <v>5000</v>
      </c>
      <c r="M331" t="s">
        <v>17</v>
      </c>
    </row>
    <row r="332" spans="1:13" x14ac:dyDescent="0.3">
      <c r="A332">
        <v>331</v>
      </c>
      <c r="B332" t="s">
        <v>28</v>
      </c>
      <c r="C332">
        <v>53</v>
      </c>
      <c r="D332" t="s">
        <v>34</v>
      </c>
      <c r="E332">
        <v>8.5</v>
      </c>
      <c r="F332">
        <v>9</v>
      </c>
      <c r="G332">
        <v>30</v>
      </c>
      <c r="H332">
        <v>3</v>
      </c>
      <c r="I332" t="s">
        <v>19</v>
      </c>
      <c r="J332" t="s">
        <v>20</v>
      </c>
      <c r="K332">
        <v>65</v>
      </c>
      <c r="L332">
        <v>5000</v>
      </c>
      <c r="M332" t="s">
        <v>17</v>
      </c>
    </row>
    <row r="333" spans="1:13" x14ac:dyDescent="0.3">
      <c r="A333">
        <v>332</v>
      </c>
      <c r="B333" t="s">
        <v>28</v>
      </c>
      <c r="C333">
        <v>53</v>
      </c>
      <c r="D333" t="s">
        <v>34</v>
      </c>
      <c r="E333">
        <v>8.4</v>
      </c>
      <c r="F333">
        <v>9</v>
      </c>
      <c r="G333">
        <v>30</v>
      </c>
      <c r="H333">
        <v>3</v>
      </c>
      <c r="I333" t="s">
        <v>19</v>
      </c>
      <c r="J333" t="s">
        <v>20</v>
      </c>
      <c r="K333">
        <v>65</v>
      </c>
      <c r="L333">
        <v>5000</v>
      </c>
      <c r="M333" t="s">
        <v>17</v>
      </c>
    </row>
    <row r="334" spans="1:13" x14ac:dyDescent="0.3">
      <c r="A334">
        <v>333</v>
      </c>
      <c r="B334" t="s">
        <v>28</v>
      </c>
      <c r="C334">
        <v>54</v>
      </c>
      <c r="D334" t="s">
        <v>34</v>
      </c>
      <c r="E334">
        <v>8.4</v>
      </c>
      <c r="F334">
        <v>9</v>
      </c>
      <c r="G334">
        <v>30</v>
      </c>
      <c r="H334">
        <v>3</v>
      </c>
      <c r="I334" t="s">
        <v>19</v>
      </c>
      <c r="J334" t="s">
        <v>20</v>
      </c>
      <c r="K334">
        <v>65</v>
      </c>
      <c r="L334">
        <v>5000</v>
      </c>
      <c r="M334" t="s">
        <v>17</v>
      </c>
    </row>
    <row r="335" spans="1:13" x14ac:dyDescent="0.3">
      <c r="A335">
        <v>334</v>
      </c>
      <c r="B335" t="s">
        <v>28</v>
      </c>
      <c r="C335">
        <v>54</v>
      </c>
      <c r="D335" t="s">
        <v>34</v>
      </c>
      <c r="E335">
        <v>8.4</v>
      </c>
      <c r="F335">
        <v>9</v>
      </c>
      <c r="G335">
        <v>30</v>
      </c>
      <c r="H335">
        <v>3</v>
      </c>
      <c r="I335" t="s">
        <v>19</v>
      </c>
      <c r="J335" t="s">
        <v>20</v>
      </c>
      <c r="K335">
        <v>65</v>
      </c>
      <c r="L335">
        <v>5000</v>
      </c>
      <c r="M335" t="s">
        <v>17</v>
      </c>
    </row>
    <row r="336" spans="1:13" x14ac:dyDescent="0.3">
      <c r="A336">
        <v>335</v>
      </c>
      <c r="B336" t="s">
        <v>28</v>
      </c>
      <c r="C336">
        <v>54</v>
      </c>
      <c r="D336" t="s">
        <v>34</v>
      </c>
      <c r="E336">
        <v>8.4</v>
      </c>
      <c r="F336">
        <v>9</v>
      </c>
      <c r="G336">
        <v>30</v>
      </c>
      <c r="H336">
        <v>3</v>
      </c>
      <c r="I336" t="s">
        <v>19</v>
      </c>
      <c r="J336" t="s">
        <v>20</v>
      </c>
      <c r="K336">
        <v>65</v>
      </c>
      <c r="L336">
        <v>5000</v>
      </c>
      <c r="M336" t="s">
        <v>17</v>
      </c>
    </row>
    <row r="337" spans="1:13" x14ac:dyDescent="0.3">
      <c r="A337">
        <v>336</v>
      </c>
      <c r="B337" t="s">
        <v>28</v>
      </c>
      <c r="C337">
        <v>54</v>
      </c>
      <c r="D337" t="s">
        <v>34</v>
      </c>
      <c r="E337">
        <v>8.4</v>
      </c>
      <c r="F337">
        <v>9</v>
      </c>
      <c r="G337">
        <v>30</v>
      </c>
      <c r="H337">
        <v>3</v>
      </c>
      <c r="I337" t="s">
        <v>19</v>
      </c>
      <c r="J337" t="s">
        <v>20</v>
      </c>
      <c r="K337">
        <v>65</v>
      </c>
      <c r="L337">
        <v>5000</v>
      </c>
      <c r="M337" t="s">
        <v>17</v>
      </c>
    </row>
    <row r="338" spans="1:13" x14ac:dyDescent="0.3">
      <c r="A338">
        <v>337</v>
      </c>
      <c r="B338" t="s">
        <v>28</v>
      </c>
      <c r="C338">
        <v>54</v>
      </c>
      <c r="D338" t="s">
        <v>34</v>
      </c>
      <c r="E338">
        <v>8.4</v>
      </c>
      <c r="F338">
        <v>9</v>
      </c>
      <c r="G338">
        <v>30</v>
      </c>
      <c r="H338">
        <v>3</v>
      </c>
      <c r="I338" t="s">
        <v>19</v>
      </c>
      <c r="J338" t="s">
        <v>20</v>
      </c>
      <c r="K338">
        <v>65</v>
      </c>
      <c r="L338">
        <v>5000</v>
      </c>
      <c r="M338" t="s">
        <v>17</v>
      </c>
    </row>
    <row r="339" spans="1:13" x14ac:dyDescent="0.3">
      <c r="A339">
        <v>338</v>
      </c>
      <c r="B339" t="s">
        <v>28</v>
      </c>
      <c r="C339">
        <v>54</v>
      </c>
      <c r="D339" t="s">
        <v>34</v>
      </c>
      <c r="E339">
        <v>8.4</v>
      </c>
      <c r="F339">
        <v>9</v>
      </c>
      <c r="G339">
        <v>30</v>
      </c>
      <c r="H339">
        <v>3</v>
      </c>
      <c r="I339" t="s">
        <v>19</v>
      </c>
      <c r="J339" t="s">
        <v>20</v>
      </c>
      <c r="K339">
        <v>65</v>
      </c>
      <c r="L339">
        <v>5000</v>
      </c>
      <c r="M339" t="s">
        <v>17</v>
      </c>
    </row>
    <row r="340" spans="1:13" x14ac:dyDescent="0.3">
      <c r="A340">
        <v>339</v>
      </c>
      <c r="B340" t="s">
        <v>28</v>
      </c>
      <c r="C340">
        <v>54</v>
      </c>
      <c r="D340" t="s">
        <v>34</v>
      </c>
      <c r="E340">
        <v>8.5</v>
      </c>
      <c r="F340">
        <v>9</v>
      </c>
      <c r="G340">
        <v>30</v>
      </c>
      <c r="H340">
        <v>3</v>
      </c>
      <c r="I340" t="s">
        <v>19</v>
      </c>
      <c r="J340" t="s">
        <v>20</v>
      </c>
      <c r="K340">
        <v>65</v>
      </c>
      <c r="L340">
        <v>5000</v>
      </c>
      <c r="M340" t="s">
        <v>17</v>
      </c>
    </row>
    <row r="341" spans="1:13" x14ac:dyDescent="0.3">
      <c r="A341">
        <v>340</v>
      </c>
      <c r="B341" t="s">
        <v>28</v>
      </c>
      <c r="C341">
        <v>55</v>
      </c>
      <c r="D341" t="s">
        <v>29</v>
      </c>
      <c r="E341">
        <v>8.1</v>
      </c>
      <c r="F341">
        <v>9</v>
      </c>
      <c r="G341">
        <v>75</v>
      </c>
      <c r="H341">
        <v>4</v>
      </c>
      <c r="I341" t="s">
        <v>15</v>
      </c>
      <c r="J341" t="s">
        <v>55</v>
      </c>
      <c r="K341">
        <v>72</v>
      </c>
      <c r="L341">
        <v>5000</v>
      </c>
      <c r="M341" t="s">
        <v>24</v>
      </c>
    </row>
    <row r="342" spans="1:13" x14ac:dyDescent="0.3">
      <c r="A342">
        <v>341</v>
      </c>
      <c r="B342" t="s">
        <v>28</v>
      </c>
      <c r="C342">
        <v>55</v>
      </c>
      <c r="D342" t="s">
        <v>29</v>
      </c>
      <c r="E342">
        <v>8.1</v>
      </c>
      <c r="F342">
        <v>9</v>
      </c>
      <c r="G342">
        <v>75</v>
      </c>
      <c r="H342">
        <v>4</v>
      </c>
      <c r="I342" t="s">
        <v>15</v>
      </c>
      <c r="J342" t="s">
        <v>55</v>
      </c>
      <c r="K342">
        <v>72</v>
      </c>
      <c r="L342">
        <v>5000</v>
      </c>
      <c r="M342" t="s">
        <v>24</v>
      </c>
    </row>
    <row r="343" spans="1:13" x14ac:dyDescent="0.3">
      <c r="A343">
        <v>342</v>
      </c>
      <c r="B343" t="s">
        <v>28</v>
      </c>
      <c r="C343">
        <v>56</v>
      </c>
      <c r="D343" t="s">
        <v>18</v>
      </c>
      <c r="E343">
        <v>8.1999999999999993</v>
      </c>
      <c r="F343">
        <v>9</v>
      </c>
      <c r="G343">
        <v>90</v>
      </c>
      <c r="H343">
        <v>3</v>
      </c>
      <c r="I343" t="s">
        <v>30</v>
      </c>
      <c r="J343" t="s">
        <v>57</v>
      </c>
      <c r="K343">
        <v>65</v>
      </c>
      <c r="L343">
        <v>10000</v>
      </c>
      <c r="M343" t="s">
        <v>17</v>
      </c>
    </row>
    <row r="344" spans="1:13" x14ac:dyDescent="0.3">
      <c r="A344">
        <v>343</v>
      </c>
      <c r="B344" t="s">
        <v>28</v>
      </c>
      <c r="C344">
        <v>56</v>
      </c>
      <c r="D344" t="s">
        <v>18</v>
      </c>
      <c r="E344">
        <v>8.1999999999999993</v>
      </c>
      <c r="F344">
        <v>9</v>
      </c>
      <c r="G344">
        <v>90</v>
      </c>
      <c r="H344">
        <v>3</v>
      </c>
      <c r="I344" t="s">
        <v>30</v>
      </c>
      <c r="J344" t="s">
        <v>57</v>
      </c>
      <c r="K344">
        <v>65</v>
      </c>
      <c r="L344">
        <v>10000</v>
      </c>
      <c r="M344" t="s">
        <v>17</v>
      </c>
    </row>
    <row r="345" spans="1:13" x14ac:dyDescent="0.3">
      <c r="A345">
        <v>344</v>
      </c>
      <c r="B345" t="s">
        <v>28</v>
      </c>
      <c r="C345">
        <v>57</v>
      </c>
      <c r="D345" t="s">
        <v>29</v>
      </c>
      <c r="E345">
        <v>8.1</v>
      </c>
      <c r="F345">
        <v>9</v>
      </c>
      <c r="G345">
        <v>75</v>
      </c>
      <c r="H345">
        <v>3</v>
      </c>
      <c r="I345" t="s">
        <v>15</v>
      </c>
      <c r="J345" t="s">
        <v>55</v>
      </c>
      <c r="K345">
        <v>68</v>
      </c>
      <c r="L345">
        <v>7000</v>
      </c>
      <c r="M345" t="s">
        <v>17</v>
      </c>
    </row>
    <row r="346" spans="1:13" x14ac:dyDescent="0.3">
      <c r="A346">
        <v>345</v>
      </c>
      <c r="B346" t="s">
        <v>28</v>
      </c>
      <c r="C346">
        <v>57</v>
      </c>
      <c r="D346" t="s">
        <v>29</v>
      </c>
      <c r="E346">
        <v>8.1999999999999993</v>
      </c>
      <c r="F346">
        <v>9</v>
      </c>
      <c r="G346">
        <v>75</v>
      </c>
      <c r="H346">
        <v>3</v>
      </c>
      <c r="I346" t="s">
        <v>15</v>
      </c>
      <c r="J346" t="s">
        <v>55</v>
      </c>
      <c r="K346">
        <v>68</v>
      </c>
      <c r="L346">
        <v>7000</v>
      </c>
      <c r="M346" t="s">
        <v>24</v>
      </c>
    </row>
    <row r="347" spans="1:13" x14ac:dyDescent="0.3">
      <c r="A347">
        <v>346</v>
      </c>
      <c r="B347" t="s">
        <v>28</v>
      </c>
      <c r="C347">
        <v>57</v>
      </c>
      <c r="D347" t="s">
        <v>29</v>
      </c>
      <c r="E347">
        <v>8.1999999999999993</v>
      </c>
      <c r="F347">
        <v>9</v>
      </c>
      <c r="G347">
        <v>75</v>
      </c>
      <c r="H347">
        <v>3</v>
      </c>
      <c r="I347" t="s">
        <v>15</v>
      </c>
      <c r="J347" t="s">
        <v>55</v>
      </c>
      <c r="K347">
        <v>68</v>
      </c>
      <c r="L347">
        <v>7000</v>
      </c>
      <c r="M347" t="s">
        <v>24</v>
      </c>
    </row>
    <row r="348" spans="1:13" x14ac:dyDescent="0.3">
      <c r="A348">
        <v>347</v>
      </c>
      <c r="B348" t="s">
        <v>28</v>
      </c>
      <c r="C348">
        <v>57</v>
      </c>
      <c r="D348" t="s">
        <v>29</v>
      </c>
      <c r="E348">
        <v>8.1999999999999993</v>
      </c>
      <c r="F348">
        <v>9</v>
      </c>
      <c r="G348">
        <v>75</v>
      </c>
      <c r="H348">
        <v>3</v>
      </c>
      <c r="I348" t="s">
        <v>15</v>
      </c>
      <c r="J348" t="s">
        <v>55</v>
      </c>
      <c r="K348">
        <v>68</v>
      </c>
      <c r="L348">
        <v>7000</v>
      </c>
      <c r="M348" t="s">
        <v>24</v>
      </c>
    </row>
    <row r="349" spans="1:13" x14ac:dyDescent="0.3">
      <c r="A349">
        <v>348</v>
      </c>
      <c r="B349" t="s">
        <v>28</v>
      </c>
      <c r="C349">
        <v>57</v>
      </c>
      <c r="D349" t="s">
        <v>29</v>
      </c>
      <c r="E349">
        <v>8.1999999999999993</v>
      </c>
      <c r="F349">
        <v>9</v>
      </c>
      <c r="G349">
        <v>75</v>
      </c>
      <c r="H349">
        <v>3</v>
      </c>
      <c r="I349" t="s">
        <v>15</v>
      </c>
      <c r="J349" t="s">
        <v>55</v>
      </c>
      <c r="K349">
        <v>68</v>
      </c>
      <c r="L349">
        <v>7000</v>
      </c>
      <c r="M349" t="s">
        <v>24</v>
      </c>
    </row>
    <row r="350" spans="1:13" x14ac:dyDescent="0.3">
      <c r="A350">
        <v>349</v>
      </c>
      <c r="B350" t="s">
        <v>28</v>
      </c>
      <c r="C350">
        <v>57</v>
      </c>
      <c r="D350" t="s">
        <v>29</v>
      </c>
      <c r="E350">
        <v>8.1999999999999993</v>
      </c>
      <c r="F350">
        <v>9</v>
      </c>
      <c r="G350">
        <v>75</v>
      </c>
      <c r="H350">
        <v>3</v>
      </c>
      <c r="I350" t="s">
        <v>15</v>
      </c>
      <c r="J350" t="s">
        <v>55</v>
      </c>
      <c r="K350">
        <v>68</v>
      </c>
      <c r="L350">
        <v>7000</v>
      </c>
      <c r="M350" t="s">
        <v>24</v>
      </c>
    </row>
    <row r="351" spans="1:13" x14ac:dyDescent="0.3">
      <c r="A351">
        <v>350</v>
      </c>
      <c r="B351" t="s">
        <v>28</v>
      </c>
      <c r="C351">
        <v>57</v>
      </c>
      <c r="D351" t="s">
        <v>29</v>
      </c>
      <c r="E351">
        <v>8.1</v>
      </c>
      <c r="F351">
        <v>9</v>
      </c>
      <c r="G351">
        <v>75</v>
      </c>
      <c r="H351">
        <v>3</v>
      </c>
      <c r="I351" t="s">
        <v>15</v>
      </c>
      <c r="J351" t="s">
        <v>55</v>
      </c>
      <c r="K351">
        <v>68</v>
      </c>
      <c r="L351">
        <v>7000</v>
      </c>
      <c r="M351" t="s">
        <v>24</v>
      </c>
    </row>
    <row r="352" spans="1:13" x14ac:dyDescent="0.3">
      <c r="A352">
        <v>351</v>
      </c>
      <c r="B352" t="s">
        <v>28</v>
      </c>
      <c r="C352">
        <v>57</v>
      </c>
      <c r="D352" t="s">
        <v>29</v>
      </c>
      <c r="E352">
        <v>8.1</v>
      </c>
      <c r="F352">
        <v>9</v>
      </c>
      <c r="G352">
        <v>75</v>
      </c>
      <c r="H352">
        <v>3</v>
      </c>
      <c r="I352" t="s">
        <v>15</v>
      </c>
      <c r="J352" t="s">
        <v>55</v>
      </c>
      <c r="K352">
        <v>68</v>
      </c>
      <c r="L352">
        <v>7000</v>
      </c>
      <c r="M352" t="s">
        <v>24</v>
      </c>
    </row>
    <row r="353" spans="1:13" x14ac:dyDescent="0.3">
      <c r="A353">
        <v>352</v>
      </c>
      <c r="B353" t="s">
        <v>28</v>
      </c>
      <c r="C353">
        <v>57</v>
      </c>
      <c r="D353" t="s">
        <v>29</v>
      </c>
      <c r="E353">
        <v>8.1</v>
      </c>
      <c r="F353">
        <v>9</v>
      </c>
      <c r="G353">
        <v>75</v>
      </c>
      <c r="H353">
        <v>3</v>
      </c>
      <c r="I353" t="s">
        <v>15</v>
      </c>
      <c r="J353" t="s">
        <v>55</v>
      </c>
      <c r="K353">
        <v>68</v>
      </c>
      <c r="L353">
        <v>7000</v>
      </c>
      <c r="M353" t="s">
        <v>24</v>
      </c>
    </row>
    <row r="354" spans="1:13" x14ac:dyDescent="0.3">
      <c r="A354">
        <v>353</v>
      </c>
      <c r="B354" t="s">
        <v>28</v>
      </c>
      <c r="C354">
        <v>58</v>
      </c>
      <c r="D354" t="s">
        <v>29</v>
      </c>
      <c r="E354">
        <v>8</v>
      </c>
      <c r="F354">
        <v>9</v>
      </c>
      <c r="G354">
        <v>75</v>
      </c>
      <c r="H354">
        <v>3</v>
      </c>
      <c r="I354" t="s">
        <v>15</v>
      </c>
      <c r="J354" t="s">
        <v>55</v>
      </c>
      <c r="K354">
        <v>68</v>
      </c>
      <c r="L354">
        <v>7000</v>
      </c>
      <c r="M354" t="s">
        <v>24</v>
      </c>
    </row>
    <row r="355" spans="1:13" x14ac:dyDescent="0.3">
      <c r="A355">
        <v>354</v>
      </c>
      <c r="B355" t="s">
        <v>28</v>
      </c>
      <c r="C355">
        <v>58</v>
      </c>
      <c r="D355" t="s">
        <v>29</v>
      </c>
      <c r="E355">
        <v>8</v>
      </c>
      <c r="F355">
        <v>9</v>
      </c>
      <c r="G355">
        <v>75</v>
      </c>
      <c r="H355">
        <v>3</v>
      </c>
      <c r="I355" t="s">
        <v>15</v>
      </c>
      <c r="J355" t="s">
        <v>55</v>
      </c>
      <c r="K355">
        <v>68</v>
      </c>
      <c r="L355">
        <v>7000</v>
      </c>
      <c r="M355" t="s">
        <v>24</v>
      </c>
    </row>
    <row r="356" spans="1:13" x14ac:dyDescent="0.3">
      <c r="A356">
        <v>355</v>
      </c>
      <c r="B356" t="s">
        <v>28</v>
      </c>
      <c r="C356">
        <v>58</v>
      </c>
      <c r="D356" t="s">
        <v>29</v>
      </c>
      <c r="E356">
        <v>8</v>
      </c>
      <c r="F356">
        <v>9</v>
      </c>
      <c r="G356">
        <v>75</v>
      </c>
      <c r="H356">
        <v>3</v>
      </c>
      <c r="I356" t="s">
        <v>15</v>
      </c>
      <c r="J356" t="s">
        <v>55</v>
      </c>
      <c r="K356">
        <v>68</v>
      </c>
      <c r="L356">
        <v>7000</v>
      </c>
      <c r="M356" t="s">
        <v>24</v>
      </c>
    </row>
    <row r="357" spans="1:13" x14ac:dyDescent="0.3">
      <c r="A357">
        <v>356</v>
      </c>
      <c r="B357" t="s">
        <v>28</v>
      </c>
      <c r="C357">
        <v>58</v>
      </c>
      <c r="D357" t="s">
        <v>29</v>
      </c>
      <c r="E357">
        <v>8</v>
      </c>
      <c r="F357">
        <v>9</v>
      </c>
      <c r="G357">
        <v>75</v>
      </c>
      <c r="H357">
        <v>3</v>
      </c>
      <c r="I357" t="s">
        <v>15</v>
      </c>
      <c r="J357" t="s">
        <v>55</v>
      </c>
      <c r="K357">
        <v>68</v>
      </c>
      <c r="L357">
        <v>7000</v>
      </c>
      <c r="M357" t="s">
        <v>24</v>
      </c>
    </row>
    <row r="358" spans="1:13" x14ac:dyDescent="0.3">
      <c r="A358">
        <v>357</v>
      </c>
      <c r="B358" t="s">
        <v>28</v>
      </c>
      <c r="C358">
        <v>58</v>
      </c>
      <c r="D358" t="s">
        <v>29</v>
      </c>
      <c r="E358">
        <v>8</v>
      </c>
      <c r="F358">
        <v>9</v>
      </c>
      <c r="G358">
        <v>75</v>
      </c>
      <c r="H358">
        <v>3</v>
      </c>
      <c r="I358" t="s">
        <v>15</v>
      </c>
      <c r="J358" t="s">
        <v>55</v>
      </c>
      <c r="K358">
        <v>68</v>
      </c>
      <c r="L358">
        <v>7000</v>
      </c>
      <c r="M358" t="s">
        <v>24</v>
      </c>
    </row>
    <row r="359" spans="1:13" x14ac:dyDescent="0.3">
      <c r="A359">
        <v>358</v>
      </c>
      <c r="B359" t="s">
        <v>28</v>
      </c>
      <c r="C359">
        <v>58</v>
      </c>
      <c r="D359" t="s">
        <v>29</v>
      </c>
      <c r="E359">
        <v>8</v>
      </c>
      <c r="F359">
        <v>9</v>
      </c>
      <c r="G359">
        <v>75</v>
      </c>
      <c r="H359">
        <v>3</v>
      </c>
      <c r="I359" t="s">
        <v>15</v>
      </c>
      <c r="J359" t="s">
        <v>55</v>
      </c>
      <c r="K359">
        <v>68</v>
      </c>
      <c r="L359">
        <v>7000</v>
      </c>
      <c r="M359" t="s">
        <v>24</v>
      </c>
    </row>
    <row r="360" spans="1:13" x14ac:dyDescent="0.3">
      <c r="A360">
        <v>359</v>
      </c>
      <c r="B360" t="s">
        <v>28</v>
      </c>
      <c r="C360">
        <v>59</v>
      </c>
      <c r="D360" t="s">
        <v>29</v>
      </c>
      <c r="E360">
        <v>8</v>
      </c>
      <c r="F360">
        <v>9</v>
      </c>
      <c r="G360">
        <v>75</v>
      </c>
      <c r="H360">
        <v>3</v>
      </c>
      <c r="I360" t="s">
        <v>15</v>
      </c>
      <c r="J360" t="s">
        <v>55</v>
      </c>
      <c r="K360">
        <v>68</v>
      </c>
      <c r="L360">
        <v>7000</v>
      </c>
      <c r="M360" t="s">
        <v>17</v>
      </c>
    </row>
    <row r="361" spans="1:13" x14ac:dyDescent="0.3">
      <c r="A361">
        <v>360</v>
      </c>
      <c r="B361" t="s">
        <v>28</v>
      </c>
      <c r="C361">
        <v>59</v>
      </c>
      <c r="D361" t="s">
        <v>29</v>
      </c>
      <c r="E361">
        <v>8.1</v>
      </c>
      <c r="F361">
        <v>9</v>
      </c>
      <c r="G361">
        <v>75</v>
      </c>
      <c r="H361">
        <v>3</v>
      </c>
      <c r="I361" t="s">
        <v>15</v>
      </c>
      <c r="J361" t="s">
        <v>55</v>
      </c>
      <c r="K361">
        <v>68</v>
      </c>
      <c r="L361">
        <v>7000</v>
      </c>
      <c r="M361" t="s">
        <v>17</v>
      </c>
    </row>
    <row r="362" spans="1:13" x14ac:dyDescent="0.3">
      <c r="A362">
        <v>361</v>
      </c>
      <c r="B362" t="s">
        <v>28</v>
      </c>
      <c r="C362">
        <v>59</v>
      </c>
      <c r="D362" t="s">
        <v>29</v>
      </c>
      <c r="E362">
        <v>8.1999999999999993</v>
      </c>
      <c r="F362">
        <v>9</v>
      </c>
      <c r="G362">
        <v>75</v>
      </c>
      <c r="H362">
        <v>3</v>
      </c>
      <c r="I362" t="s">
        <v>15</v>
      </c>
      <c r="J362" t="s">
        <v>55</v>
      </c>
      <c r="K362">
        <v>68</v>
      </c>
      <c r="L362">
        <v>7000</v>
      </c>
      <c r="M362" t="s">
        <v>24</v>
      </c>
    </row>
    <row r="363" spans="1:13" x14ac:dyDescent="0.3">
      <c r="A363">
        <v>362</v>
      </c>
      <c r="B363" t="s">
        <v>28</v>
      </c>
      <c r="C363">
        <v>59</v>
      </c>
      <c r="D363" t="s">
        <v>29</v>
      </c>
      <c r="E363">
        <v>8.1999999999999993</v>
      </c>
      <c r="F363">
        <v>9</v>
      </c>
      <c r="G363">
        <v>75</v>
      </c>
      <c r="H363">
        <v>3</v>
      </c>
      <c r="I363" t="s">
        <v>15</v>
      </c>
      <c r="J363" t="s">
        <v>55</v>
      </c>
      <c r="K363">
        <v>68</v>
      </c>
      <c r="L363">
        <v>7000</v>
      </c>
      <c r="M363" t="s">
        <v>24</v>
      </c>
    </row>
    <row r="364" spans="1:13" x14ac:dyDescent="0.3">
      <c r="A364">
        <v>363</v>
      </c>
      <c r="B364" t="s">
        <v>28</v>
      </c>
      <c r="C364">
        <v>59</v>
      </c>
      <c r="D364" t="s">
        <v>29</v>
      </c>
      <c r="E364">
        <v>8.1999999999999993</v>
      </c>
      <c r="F364">
        <v>9</v>
      </c>
      <c r="G364">
        <v>75</v>
      </c>
      <c r="H364">
        <v>3</v>
      </c>
      <c r="I364" t="s">
        <v>15</v>
      </c>
      <c r="J364" t="s">
        <v>55</v>
      </c>
      <c r="K364">
        <v>68</v>
      </c>
      <c r="L364">
        <v>7000</v>
      </c>
      <c r="M364" t="s">
        <v>24</v>
      </c>
    </row>
    <row r="365" spans="1:13" x14ac:dyDescent="0.3">
      <c r="A365">
        <v>364</v>
      </c>
      <c r="B365" t="s">
        <v>28</v>
      </c>
      <c r="C365">
        <v>59</v>
      </c>
      <c r="D365" t="s">
        <v>29</v>
      </c>
      <c r="E365">
        <v>8.1999999999999993</v>
      </c>
      <c r="F365">
        <v>9</v>
      </c>
      <c r="G365">
        <v>75</v>
      </c>
      <c r="H365">
        <v>3</v>
      </c>
      <c r="I365" t="s">
        <v>15</v>
      </c>
      <c r="J365" t="s">
        <v>55</v>
      </c>
      <c r="K365">
        <v>68</v>
      </c>
      <c r="L365">
        <v>7000</v>
      </c>
      <c r="M365" t="s">
        <v>24</v>
      </c>
    </row>
    <row r="366" spans="1:13" x14ac:dyDescent="0.3">
      <c r="A366">
        <v>365</v>
      </c>
      <c r="B366" t="s">
        <v>28</v>
      </c>
      <c r="C366">
        <v>59</v>
      </c>
      <c r="D366" t="s">
        <v>29</v>
      </c>
      <c r="E366">
        <v>8</v>
      </c>
      <c r="F366">
        <v>9</v>
      </c>
      <c r="G366">
        <v>75</v>
      </c>
      <c r="H366">
        <v>3</v>
      </c>
      <c r="I366" t="s">
        <v>15</v>
      </c>
      <c r="J366" t="s">
        <v>55</v>
      </c>
      <c r="K366">
        <v>68</v>
      </c>
      <c r="L366">
        <v>7000</v>
      </c>
      <c r="M366" t="s">
        <v>24</v>
      </c>
    </row>
    <row r="367" spans="1:13" x14ac:dyDescent="0.3">
      <c r="A367">
        <v>366</v>
      </c>
      <c r="B367" t="s">
        <v>28</v>
      </c>
      <c r="C367">
        <v>59</v>
      </c>
      <c r="D367" t="s">
        <v>29</v>
      </c>
      <c r="E367">
        <v>8</v>
      </c>
      <c r="F367">
        <v>9</v>
      </c>
      <c r="G367">
        <v>75</v>
      </c>
      <c r="H367">
        <v>3</v>
      </c>
      <c r="I367" t="s">
        <v>15</v>
      </c>
      <c r="J367" t="s">
        <v>55</v>
      </c>
      <c r="K367">
        <v>68</v>
      </c>
      <c r="L367">
        <v>7000</v>
      </c>
      <c r="M367" t="s">
        <v>24</v>
      </c>
    </row>
    <row r="368" spans="1:13" x14ac:dyDescent="0.3">
      <c r="A368">
        <v>367</v>
      </c>
      <c r="B368" t="s">
        <v>28</v>
      </c>
      <c r="C368">
        <v>59</v>
      </c>
      <c r="D368" t="s">
        <v>29</v>
      </c>
      <c r="E368">
        <v>8.1</v>
      </c>
      <c r="F368">
        <v>9</v>
      </c>
      <c r="G368">
        <v>75</v>
      </c>
      <c r="H368">
        <v>3</v>
      </c>
      <c r="I368" t="s">
        <v>15</v>
      </c>
      <c r="J368" t="s">
        <v>55</v>
      </c>
      <c r="K368">
        <v>68</v>
      </c>
      <c r="L368">
        <v>7000</v>
      </c>
      <c r="M368" t="s">
        <v>24</v>
      </c>
    </row>
    <row r="369" spans="1:13" x14ac:dyDescent="0.3">
      <c r="A369">
        <v>368</v>
      </c>
      <c r="B369" t="s">
        <v>28</v>
      </c>
      <c r="C369">
        <v>59</v>
      </c>
      <c r="D369" t="s">
        <v>29</v>
      </c>
      <c r="E369">
        <v>8</v>
      </c>
      <c r="F369">
        <v>9</v>
      </c>
      <c r="G369">
        <v>75</v>
      </c>
      <c r="H369">
        <v>3</v>
      </c>
      <c r="I369" t="s">
        <v>15</v>
      </c>
      <c r="J369" t="s">
        <v>55</v>
      </c>
      <c r="K369">
        <v>68</v>
      </c>
      <c r="L369">
        <v>7000</v>
      </c>
      <c r="M369" t="s">
        <v>24</v>
      </c>
    </row>
    <row r="370" spans="1:13" x14ac:dyDescent="0.3">
      <c r="A370">
        <v>369</v>
      </c>
      <c r="B370" t="s">
        <v>28</v>
      </c>
      <c r="C370">
        <v>59</v>
      </c>
      <c r="D370" t="s">
        <v>29</v>
      </c>
      <c r="E370">
        <v>8.1</v>
      </c>
      <c r="F370">
        <v>9</v>
      </c>
      <c r="G370">
        <v>75</v>
      </c>
      <c r="H370">
        <v>3</v>
      </c>
      <c r="I370" t="s">
        <v>15</v>
      </c>
      <c r="J370" t="s">
        <v>55</v>
      </c>
      <c r="K370">
        <v>68</v>
      </c>
      <c r="L370">
        <v>7000</v>
      </c>
      <c r="M370" t="s">
        <v>24</v>
      </c>
    </row>
    <row r="371" spans="1:13" x14ac:dyDescent="0.3">
      <c r="A371">
        <v>370</v>
      </c>
      <c r="B371" t="s">
        <v>28</v>
      </c>
      <c r="C371">
        <v>59</v>
      </c>
      <c r="D371" t="s">
        <v>29</v>
      </c>
      <c r="E371">
        <v>8.1</v>
      </c>
      <c r="F371">
        <v>9</v>
      </c>
      <c r="G371">
        <v>75</v>
      </c>
      <c r="H371">
        <v>3</v>
      </c>
      <c r="I371" t="s">
        <v>15</v>
      </c>
      <c r="J371" t="s">
        <v>55</v>
      </c>
      <c r="K371">
        <v>68</v>
      </c>
      <c r="L371">
        <v>7000</v>
      </c>
      <c r="M371" t="s">
        <v>24</v>
      </c>
    </row>
    <row r="372" spans="1:13" x14ac:dyDescent="0.3">
      <c r="A372">
        <v>371</v>
      </c>
      <c r="B372" t="s">
        <v>28</v>
      </c>
      <c r="C372">
        <v>59</v>
      </c>
      <c r="D372" t="s">
        <v>29</v>
      </c>
      <c r="E372">
        <v>8</v>
      </c>
      <c r="F372">
        <v>9</v>
      </c>
      <c r="G372">
        <v>75</v>
      </c>
      <c r="H372">
        <v>3</v>
      </c>
      <c r="I372" t="s">
        <v>15</v>
      </c>
      <c r="J372" t="s">
        <v>55</v>
      </c>
      <c r="K372">
        <v>68</v>
      </c>
      <c r="L372">
        <v>7000</v>
      </c>
      <c r="M372" t="s">
        <v>24</v>
      </c>
    </row>
    <row r="373" spans="1:13" x14ac:dyDescent="0.3">
      <c r="A373">
        <v>372</v>
      </c>
      <c r="B373" t="s">
        <v>28</v>
      </c>
      <c r="C373">
        <v>59</v>
      </c>
      <c r="D373" t="s">
        <v>29</v>
      </c>
      <c r="E373">
        <v>8.1</v>
      </c>
      <c r="F373">
        <v>9</v>
      </c>
      <c r="G373">
        <v>75</v>
      </c>
      <c r="H373">
        <v>3</v>
      </c>
      <c r="I373" t="s">
        <v>15</v>
      </c>
      <c r="J373" t="s">
        <v>55</v>
      </c>
      <c r="K373">
        <v>68</v>
      </c>
      <c r="L373">
        <v>7000</v>
      </c>
      <c r="M373" t="s">
        <v>24</v>
      </c>
    </row>
    <row r="374" spans="1:13" x14ac:dyDescent="0.3">
      <c r="A374">
        <v>373</v>
      </c>
      <c r="B374" t="s">
        <v>28</v>
      </c>
      <c r="C374">
        <v>59</v>
      </c>
      <c r="D374" t="s">
        <v>29</v>
      </c>
      <c r="E374">
        <v>8.1</v>
      </c>
      <c r="F374">
        <v>9</v>
      </c>
      <c r="G374">
        <v>75</v>
      </c>
      <c r="H374">
        <v>3</v>
      </c>
      <c r="I374" t="s">
        <v>15</v>
      </c>
      <c r="J374" t="s">
        <v>55</v>
      </c>
      <c r="K374">
        <v>68</v>
      </c>
      <c r="L374">
        <v>7000</v>
      </c>
      <c r="M374" t="s">
        <v>24</v>
      </c>
    </row>
    <row r="375" spans="1:13" x14ac:dyDescent="0.3">
      <c r="A375">
        <v>374</v>
      </c>
      <c r="B375" t="s">
        <v>28</v>
      </c>
      <c r="C375">
        <v>59</v>
      </c>
      <c r="D375" t="s">
        <v>29</v>
      </c>
      <c r="E375">
        <v>8.1</v>
      </c>
      <c r="F375">
        <v>9</v>
      </c>
      <c r="G375">
        <v>75</v>
      </c>
      <c r="H375">
        <v>3</v>
      </c>
      <c r="I375" t="s">
        <v>15</v>
      </c>
      <c r="J375" t="s">
        <v>55</v>
      </c>
      <c r="K375">
        <v>68</v>
      </c>
      <c r="L375">
        <v>7000</v>
      </c>
      <c r="M375"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6B17-A308-4FBB-A95A-2A2F4A8CF5CC}">
  <sheetPr codeName="Sheet3"/>
  <dimension ref="A3:AC451"/>
  <sheetViews>
    <sheetView topLeftCell="D97" zoomScale="64" zoomScaleNormal="74" workbookViewId="0">
      <selection activeCell="L125" sqref="L125"/>
    </sheetView>
  </sheetViews>
  <sheetFormatPr defaultRowHeight="14.4" x14ac:dyDescent="0.3"/>
  <cols>
    <col min="1" max="1" width="13.88671875" bestFit="1" customWidth="1"/>
    <col min="2" max="2" width="21.109375" bestFit="1" customWidth="1"/>
    <col min="3" max="3" width="21.5546875" bestFit="1" customWidth="1"/>
    <col min="4" max="4" width="2" bestFit="1" customWidth="1"/>
    <col min="5" max="11" width="4" bestFit="1" customWidth="1"/>
    <col min="12" max="12" width="15.5546875" bestFit="1" customWidth="1"/>
    <col min="13" max="13" width="21.6640625" bestFit="1" customWidth="1"/>
    <col min="14" max="14" width="24.21875" bestFit="1" customWidth="1"/>
    <col min="15" max="15" width="6.5546875" bestFit="1" customWidth="1"/>
    <col min="16" max="17" width="11.21875" bestFit="1" customWidth="1"/>
    <col min="18" max="18" width="5.77734375" bestFit="1" customWidth="1"/>
    <col min="19" max="19" width="24.109375" customWidth="1"/>
    <col min="20" max="20" width="7" bestFit="1" customWidth="1"/>
    <col min="21" max="21" width="9.21875" bestFit="1" customWidth="1"/>
    <col min="22" max="22" width="5.77734375" bestFit="1" customWidth="1"/>
    <col min="23" max="23" width="19.77734375" customWidth="1"/>
    <col min="24" max="24" width="7" bestFit="1" customWidth="1"/>
    <col min="25" max="25" width="9.21875" bestFit="1" customWidth="1"/>
    <col min="26" max="26" width="5.77734375" bestFit="1" customWidth="1"/>
    <col min="27" max="27" width="19.6640625" customWidth="1"/>
    <col min="28" max="28" width="7" bestFit="1" customWidth="1"/>
    <col min="29" max="29" width="18.21875" customWidth="1"/>
    <col min="30" max="30" width="5.77734375" bestFit="1" customWidth="1"/>
    <col min="31" max="31" width="12" bestFit="1" customWidth="1"/>
    <col min="32" max="32" width="7" bestFit="1" customWidth="1"/>
    <col min="33" max="33" width="9.21875" bestFit="1" customWidth="1"/>
    <col min="34" max="34" width="5.77734375" bestFit="1" customWidth="1"/>
    <col min="35" max="35" width="12" bestFit="1" customWidth="1"/>
    <col min="36" max="36" width="7" bestFit="1" customWidth="1"/>
    <col min="37" max="37" width="11.5546875" bestFit="1" customWidth="1"/>
  </cols>
  <sheetData>
    <row r="3" spans="1:2" x14ac:dyDescent="0.3">
      <c r="A3" s="1" t="s">
        <v>59</v>
      </c>
      <c r="B3" t="s">
        <v>58</v>
      </c>
    </row>
    <row r="4" spans="1:2" x14ac:dyDescent="0.3">
      <c r="A4" s="2">
        <v>30</v>
      </c>
      <c r="B4">
        <v>98.399999999999991</v>
      </c>
    </row>
    <row r="5" spans="1:2" x14ac:dyDescent="0.3">
      <c r="A5" s="2" t="s">
        <v>60</v>
      </c>
      <c r="B5">
        <v>98.399999999999991</v>
      </c>
    </row>
    <row r="25" spans="12:13" x14ac:dyDescent="0.3">
      <c r="L25" s="1" t="s">
        <v>59</v>
      </c>
      <c r="M25" t="s">
        <v>61</v>
      </c>
    </row>
    <row r="26" spans="12:13" x14ac:dyDescent="0.3">
      <c r="L26" s="2" t="s">
        <v>25</v>
      </c>
      <c r="M26">
        <v>77</v>
      </c>
    </row>
    <row r="27" spans="12:13" x14ac:dyDescent="0.3">
      <c r="L27" s="2" t="s">
        <v>17</v>
      </c>
      <c r="M27">
        <v>219</v>
      </c>
    </row>
    <row r="28" spans="12:13" x14ac:dyDescent="0.3">
      <c r="L28" s="2" t="s">
        <v>24</v>
      </c>
      <c r="M28">
        <v>78</v>
      </c>
    </row>
    <row r="29" spans="12:13" x14ac:dyDescent="0.3">
      <c r="L29" s="2" t="s">
        <v>60</v>
      </c>
      <c r="M29">
        <v>374</v>
      </c>
    </row>
    <row r="39" spans="13:14" x14ac:dyDescent="0.3">
      <c r="M39" s="1" t="s">
        <v>59</v>
      </c>
      <c r="N39" t="s">
        <v>62</v>
      </c>
    </row>
    <row r="40" spans="13:14" x14ac:dyDescent="0.3">
      <c r="M40" s="2" t="s">
        <v>21</v>
      </c>
      <c r="N40" s="14">
        <v>5.9</v>
      </c>
    </row>
    <row r="41" spans="13:14" x14ac:dyDescent="0.3">
      <c r="M41" s="2" t="s">
        <v>37</v>
      </c>
      <c r="N41" s="14">
        <v>6</v>
      </c>
    </row>
    <row r="42" spans="13:14" x14ac:dyDescent="0.3">
      <c r="M42" s="2" t="s">
        <v>50</v>
      </c>
      <c r="N42" s="14">
        <v>6.4031250000000037</v>
      </c>
    </row>
    <row r="43" spans="13:14" x14ac:dyDescent="0.3">
      <c r="M43" s="2" t="s">
        <v>26</v>
      </c>
      <c r="N43" s="14">
        <v>6.69</v>
      </c>
    </row>
    <row r="44" spans="13:14" x14ac:dyDescent="0.3">
      <c r="M44" s="2" t="s">
        <v>14</v>
      </c>
      <c r="N44" s="14">
        <v>6.75</v>
      </c>
    </row>
    <row r="45" spans="13:14" x14ac:dyDescent="0.3">
      <c r="M45" s="2" t="s">
        <v>53</v>
      </c>
      <c r="N45" s="14">
        <v>6.9</v>
      </c>
    </row>
    <row r="46" spans="13:14" x14ac:dyDescent="0.3">
      <c r="M46" s="2" t="s">
        <v>18</v>
      </c>
      <c r="N46" s="14">
        <v>6.9704225352112683</v>
      </c>
    </row>
    <row r="47" spans="13:14" x14ac:dyDescent="0.3">
      <c r="M47" s="2" t="s">
        <v>29</v>
      </c>
      <c r="N47" s="14">
        <v>7.0630136986301375</v>
      </c>
    </row>
    <row r="48" spans="13:14" x14ac:dyDescent="0.3">
      <c r="M48" s="2" t="s">
        <v>35</v>
      </c>
      <c r="N48" s="14">
        <v>7.1135135135135128</v>
      </c>
    </row>
    <row r="49" spans="2:14" x14ac:dyDescent="0.3">
      <c r="M49" s="2" t="s">
        <v>42</v>
      </c>
      <c r="N49" s="14">
        <v>7.4106382978723397</v>
      </c>
    </row>
    <row r="50" spans="2:14" x14ac:dyDescent="0.3">
      <c r="M50" s="2" t="s">
        <v>34</v>
      </c>
      <c r="N50" s="14">
        <v>7.9873015873015847</v>
      </c>
    </row>
    <row r="51" spans="2:14" x14ac:dyDescent="0.3">
      <c r="M51" s="2" t="s">
        <v>60</v>
      </c>
      <c r="N51" s="14">
        <v>7.1320855614973269</v>
      </c>
    </row>
    <row r="60" spans="2:14" x14ac:dyDescent="0.3">
      <c r="B60" s="1" t="s">
        <v>59</v>
      </c>
      <c r="C60" t="s">
        <v>63</v>
      </c>
    </row>
    <row r="61" spans="2:14" x14ac:dyDescent="0.3">
      <c r="B61" s="2" t="s">
        <v>35</v>
      </c>
      <c r="C61">
        <v>4.5945945945945947</v>
      </c>
    </row>
    <row r="62" spans="2:14" x14ac:dyDescent="0.3">
      <c r="B62" s="2" t="s">
        <v>18</v>
      </c>
      <c r="C62">
        <v>6.732394366197183</v>
      </c>
    </row>
    <row r="63" spans="2:14" x14ac:dyDescent="0.3">
      <c r="B63" s="2" t="s">
        <v>34</v>
      </c>
      <c r="C63">
        <v>3.8888888888888888</v>
      </c>
    </row>
    <row r="64" spans="2:14" x14ac:dyDescent="0.3">
      <c r="B64" s="2" t="s">
        <v>42</v>
      </c>
      <c r="C64">
        <v>5.0638297872340425</v>
      </c>
    </row>
    <row r="65" spans="2:19" x14ac:dyDescent="0.3">
      <c r="B65" s="2" t="s">
        <v>53</v>
      </c>
      <c r="C65">
        <v>5</v>
      </c>
    </row>
    <row r="66" spans="2:19" x14ac:dyDescent="0.3">
      <c r="B66" s="2" t="s">
        <v>29</v>
      </c>
      <c r="C66">
        <v>5.5479452054794525</v>
      </c>
    </row>
    <row r="67" spans="2:19" x14ac:dyDescent="0.3">
      <c r="B67" s="2" t="s">
        <v>21</v>
      </c>
      <c r="C67">
        <v>8</v>
      </c>
    </row>
    <row r="68" spans="2:19" x14ac:dyDescent="0.3">
      <c r="B68" s="2" t="s">
        <v>50</v>
      </c>
      <c r="C68">
        <v>7</v>
      </c>
    </row>
    <row r="69" spans="2:19" x14ac:dyDescent="0.3">
      <c r="B69" s="2" t="s">
        <v>37</v>
      </c>
      <c r="C69">
        <v>7</v>
      </c>
    </row>
    <row r="70" spans="2:19" x14ac:dyDescent="0.3">
      <c r="B70" s="2" t="s">
        <v>14</v>
      </c>
      <c r="C70">
        <v>6</v>
      </c>
    </row>
    <row r="71" spans="2:19" x14ac:dyDescent="0.3">
      <c r="B71" s="2" t="s">
        <v>26</v>
      </c>
      <c r="C71">
        <v>4.5250000000000004</v>
      </c>
    </row>
    <row r="72" spans="2:19" x14ac:dyDescent="0.3">
      <c r="B72" s="2" t="s">
        <v>60</v>
      </c>
      <c r="C72">
        <v>5.3850267379679142</v>
      </c>
    </row>
    <row r="75" spans="2:19" x14ac:dyDescent="0.3">
      <c r="S75">
        <f>COUNTA(Sleep_Health_and_Lifestyle_Dataset[Person ID])</f>
        <v>374</v>
      </c>
    </row>
    <row r="77" spans="2:19" x14ac:dyDescent="0.3">
      <c r="B77" s="3" t="s">
        <v>4</v>
      </c>
      <c r="C77" s="4" t="s">
        <v>11</v>
      </c>
    </row>
    <row r="78" spans="2:19" x14ac:dyDescent="0.3">
      <c r="B78" s="5">
        <v>6.1</v>
      </c>
      <c r="C78" s="6">
        <v>4200</v>
      </c>
    </row>
    <row r="79" spans="2:19" x14ac:dyDescent="0.3">
      <c r="B79" s="7">
        <v>6.2</v>
      </c>
      <c r="C79" s="8">
        <v>10000</v>
      </c>
    </row>
    <row r="80" spans="2:19" x14ac:dyDescent="0.3">
      <c r="B80" s="5">
        <v>6.2</v>
      </c>
      <c r="C80" s="6">
        <v>10000</v>
      </c>
    </row>
    <row r="81" spans="2:29" x14ac:dyDescent="0.3">
      <c r="B81" s="7">
        <v>5.9</v>
      </c>
      <c r="C81" s="8">
        <v>3000</v>
      </c>
    </row>
    <row r="82" spans="2:29" x14ac:dyDescent="0.3">
      <c r="B82" s="5">
        <v>5.9</v>
      </c>
      <c r="C82" s="6">
        <v>3000</v>
      </c>
    </row>
    <row r="83" spans="2:29" x14ac:dyDescent="0.3">
      <c r="B83" s="7">
        <v>5.9</v>
      </c>
      <c r="C83" s="8">
        <v>3000</v>
      </c>
    </row>
    <row r="84" spans="2:29" x14ac:dyDescent="0.3">
      <c r="B84" s="5">
        <v>6.3</v>
      </c>
      <c r="C84" s="6">
        <v>3500</v>
      </c>
    </row>
    <row r="85" spans="2:29" x14ac:dyDescent="0.3">
      <c r="B85" s="7">
        <v>7.8</v>
      </c>
      <c r="C85" s="8">
        <v>8000</v>
      </c>
    </row>
    <row r="86" spans="2:29" x14ac:dyDescent="0.3">
      <c r="B86" s="5">
        <v>7.8</v>
      </c>
      <c r="C86" s="6">
        <v>8000</v>
      </c>
    </row>
    <row r="87" spans="2:29" x14ac:dyDescent="0.3">
      <c r="B87" s="7">
        <v>7.8</v>
      </c>
      <c r="C87" s="8">
        <v>8000</v>
      </c>
    </row>
    <row r="88" spans="2:29" x14ac:dyDescent="0.3">
      <c r="B88" s="5">
        <v>6.1</v>
      </c>
      <c r="C88" s="6">
        <v>8000</v>
      </c>
    </row>
    <row r="89" spans="2:29" x14ac:dyDescent="0.3">
      <c r="B89" s="7">
        <v>7.8</v>
      </c>
      <c r="C89" s="8">
        <v>8000</v>
      </c>
    </row>
    <row r="90" spans="2:29" x14ac:dyDescent="0.3">
      <c r="B90" s="5">
        <v>6.1</v>
      </c>
      <c r="C90" s="6">
        <v>8000</v>
      </c>
    </row>
    <row r="91" spans="2:29" x14ac:dyDescent="0.3">
      <c r="B91" s="7">
        <v>6</v>
      </c>
      <c r="C91" s="8">
        <v>8000</v>
      </c>
    </row>
    <row r="92" spans="2:29" x14ac:dyDescent="0.3">
      <c r="B92" s="5">
        <v>6</v>
      </c>
      <c r="C92" s="6">
        <v>8000</v>
      </c>
    </row>
    <row r="93" spans="2:29" x14ac:dyDescent="0.3">
      <c r="B93" s="7">
        <v>6</v>
      </c>
      <c r="C93" s="8">
        <v>8000</v>
      </c>
    </row>
    <row r="94" spans="2:29" x14ac:dyDescent="0.3">
      <c r="B94" s="5">
        <v>6.5</v>
      </c>
      <c r="C94" s="6">
        <v>4000</v>
      </c>
      <c r="P94" s="12" t="s">
        <v>61</v>
      </c>
      <c r="Q94" s="13" t="s">
        <v>64</v>
      </c>
      <c r="S94" s="13" t="s">
        <v>65</v>
      </c>
      <c r="W94" s="13" t="s">
        <v>66</v>
      </c>
      <c r="AA94" s="13" t="s">
        <v>67</v>
      </c>
      <c r="AC94" s="13" t="s">
        <v>68</v>
      </c>
    </row>
    <row r="95" spans="2:29" x14ac:dyDescent="0.3">
      <c r="B95" s="7">
        <v>6</v>
      </c>
      <c r="C95" s="8">
        <v>8000</v>
      </c>
      <c r="P95" s="12">
        <v>374</v>
      </c>
      <c r="Q95" s="12">
        <f>AVERAGE(Sleep_Health_and_Lifestyle_Dataset[Sleep Duration])</f>
        <v>7.1320855614973171</v>
      </c>
      <c r="S95" s="12">
        <f>AVERAGE(Sleep_Health_and_Lifestyle_Dataset[Quality of Sleep])</f>
        <v>7.3128342245989302</v>
      </c>
      <c r="W95" s="12">
        <f>AVERAGE(Sleep_Health_and_Lifestyle_Dataset[Stress Level])</f>
        <v>5.3850267379679142</v>
      </c>
      <c r="AA95" s="12">
        <f>AVERAGE(Sleep_Health_and_Lifestyle_Dataset[Daily Steps])</f>
        <v>6816.8449197860964</v>
      </c>
      <c r="AC95" s="12">
        <f>AVERAGE(Sleep_Health_and_Lifestyle_Dataset[Heart Rate])</f>
        <v>70.165775401069524</v>
      </c>
    </row>
    <row r="96" spans="2:29" x14ac:dyDescent="0.3">
      <c r="B96" s="5">
        <v>6.5</v>
      </c>
      <c r="C96" s="6">
        <v>4000</v>
      </c>
    </row>
    <row r="97" spans="2:15" x14ac:dyDescent="0.3">
      <c r="B97" s="7">
        <v>7.6</v>
      </c>
      <c r="C97" s="8">
        <v>8000</v>
      </c>
    </row>
    <row r="98" spans="2:15" x14ac:dyDescent="0.3">
      <c r="B98" s="5">
        <v>7.7</v>
      </c>
      <c r="C98" s="6">
        <v>8000</v>
      </c>
      <c r="N98" s="11"/>
      <c r="O98" s="11"/>
    </row>
    <row r="99" spans="2:15" x14ac:dyDescent="0.3">
      <c r="B99" s="7">
        <v>7.7</v>
      </c>
      <c r="C99" s="8">
        <v>8000</v>
      </c>
      <c r="N99" s="11"/>
      <c r="O99" s="11"/>
    </row>
    <row r="100" spans="2:15" x14ac:dyDescent="0.3">
      <c r="B100" s="5">
        <v>7.7</v>
      </c>
      <c r="C100" s="6">
        <v>8000</v>
      </c>
      <c r="N100" s="11"/>
      <c r="O100" s="11"/>
    </row>
    <row r="101" spans="2:15" x14ac:dyDescent="0.3">
      <c r="B101" s="7">
        <v>7.7</v>
      </c>
      <c r="C101" s="8">
        <v>8000</v>
      </c>
    </row>
    <row r="102" spans="2:15" x14ac:dyDescent="0.3">
      <c r="B102" s="5">
        <v>7.8</v>
      </c>
      <c r="C102" s="6">
        <v>8000</v>
      </c>
    </row>
    <row r="103" spans="2:15" x14ac:dyDescent="0.3">
      <c r="B103" s="7">
        <v>7.9</v>
      </c>
      <c r="C103" s="8">
        <v>8000</v>
      </c>
      <c r="L103" s="1" t="s">
        <v>59</v>
      </c>
      <c r="M103" t="s">
        <v>69</v>
      </c>
    </row>
    <row r="104" spans="2:15" x14ac:dyDescent="0.3">
      <c r="B104" s="5">
        <v>7.8</v>
      </c>
      <c r="C104" s="6">
        <v>8000</v>
      </c>
      <c r="L104" s="2" t="s">
        <v>28</v>
      </c>
      <c r="M104" s="14">
        <v>7.6648648648648647</v>
      </c>
    </row>
    <row r="105" spans="2:15" x14ac:dyDescent="0.3">
      <c r="B105" s="7">
        <v>7.9</v>
      </c>
      <c r="C105" s="8">
        <v>8000</v>
      </c>
      <c r="L105" s="2" t="s">
        <v>13</v>
      </c>
      <c r="M105" s="14">
        <v>6.9682539682539684</v>
      </c>
    </row>
    <row r="106" spans="2:15" x14ac:dyDescent="0.3">
      <c r="B106" s="5">
        <v>7.9</v>
      </c>
      <c r="C106" s="6">
        <v>8000</v>
      </c>
      <c r="L106" s="2" t="s">
        <v>60</v>
      </c>
      <c r="M106" s="14">
        <v>7.3128342245989302</v>
      </c>
    </row>
    <row r="107" spans="2:15" x14ac:dyDescent="0.3">
      <c r="B107" s="7">
        <v>7.9</v>
      </c>
      <c r="C107" s="8">
        <v>8000</v>
      </c>
    </row>
    <row r="108" spans="2:15" x14ac:dyDescent="0.3">
      <c r="B108" s="5">
        <v>6.4</v>
      </c>
      <c r="C108" s="6">
        <v>4100</v>
      </c>
    </row>
    <row r="109" spans="2:15" x14ac:dyDescent="0.3">
      <c r="B109" s="7">
        <v>6.4</v>
      </c>
      <c r="C109" s="8">
        <v>4100</v>
      </c>
    </row>
    <row r="110" spans="2:15" x14ac:dyDescent="0.3">
      <c r="B110" s="5">
        <v>7.9</v>
      </c>
      <c r="C110" s="6">
        <v>6800</v>
      </c>
    </row>
    <row r="111" spans="2:15" x14ac:dyDescent="0.3">
      <c r="B111" s="7">
        <v>6.1</v>
      </c>
      <c r="C111" s="8">
        <v>5000</v>
      </c>
    </row>
    <row r="112" spans="2:15" x14ac:dyDescent="0.3">
      <c r="B112" s="5">
        <v>7.7</v>
      </c>
      <c r="C112" s="6">
        <v>8000</v>
      </c>
    </row>
    <row r="113" spans="2:13" x14ac:dyDescent="0.3">
      <c r="B113" s="7">
        <v>6.1</v>
      </c>
      <c r="C113" s="8">
        <v>5000</v>
      </c>
    </row>
    <row r="114" spans="2:13" x14ac:dyDescent="0.3">
      <c r="B114" s="5">
        <v>6.1</v>
      </c>
      <c r="C114" s="6">
        <v>5000</v>
      </c>
    </row>
    <row r="115" spans="2:13" x14ac:dyDescent="0.3">
      <c r="B115" s="7">
        <v>7.6</v>
      </c>
      <c r="C115" s="8">
        <v>8000</v>
      </c>
    </row>
    <row r="116" spans="2:13" x14ac:dyDescent="0.3">
      <c r="B116" s="5">
        <v>7.6</v>
      </c>
      <c r="C116" s="6">
        <v>8000</v>
      </c>
    </row>
    <row r="117" spans="2:13" x14ac:dyDescent="0.3">
      <c r="B117" s="7">
        <v>7.6</v>
      </c>
      <c r="C117" s="8">
        <v>8000</v>
      </c>
    </row>
    <row r="118" spans="2:13" x14ac:dyDescent="0.3">
      <c r="B118" s="5">
        <v>7.7</v>
      </c>
      <c r="C118" s="6">
        <v>8000</v>
      </c>
    </row>
    <row r="119" spans="2:13" x14ac:dyDescent="0.3">
      <c r="B119" s="7">
        <v>7.7</v>
      </c>
      <c r="C119" s="8">
        <v>8000</v>
      </c>
    </row>
    <row r="120" spans="2:13" x14ac:dyDescent="0.3">
      <c r="B120" s="5">
        <v>7.7</v>
      </c>
      <c r="C120" s="6">
        <v>8000</v>
      </c>
    </row>
    <row r="121" spans="2:13" x14ac:dyDescent="0.3">
      <c r="B121" s="7">
        <v>7.8</v>
      </c>
      <c r="C121" s="8">
        <v>8000</v>
      </c>
    </row>
    <row r="122" spans="2:13" x14ac:dyDescent="0.3">
      <c r="B122" s="5">
        <v>7.7</v>
      </c>
      <c r="C122" s="6">
        <v>8000</v>
      </c>
    </row>
    <row r="123" spans="2:13" x14ac:dyDescent="0.3">
      <c r="B123" s="7">
        <v>7.8</v>
      </c>
      <c r="C123" s="8">
        <v>8000</v>
      </c>
    </row>
    <row r="124" spans="2:13" x14ac:dyDescent="0.3">
      <c r="B124" s="5">
        <v>7.7</v>
      </c>
      <c r="C124" s="6">
        <v>8000</v>
      </c>
    </row>
    <row r="125" spans="2:13" x14ac:dyDescent="0.3">
      <c r="B125" s="7">
        <v>7.8</v>
      </c>
      <c r="C125" s="8">
        <v>8000</v>
      </c>
      <c r="L125" s="1" t="s">
        <v>59</v>
      </c>
      <c r="M125" t="s">
        <v>61</v>
      </c>
    </row>
    <row r="126" spans="2:13" x14ac:dyDescent="0.3">
      <c r="B126" s="5">
        <v>7.7</v>
      </c>
      <c r="C126" s="6">
        <v>8000</v>
      </c>
      <c r="L126" s="2" t="s">
        <v>19</v>
      </c>
      <c r="M126" s="14">
        <v>195</v>
      </c>
    </row>
    <row r="127" spans="2:13" x14ac:dyDescent="0.3">
      <c r="B127" s="7">
        <v>7.7</v>
      </c>
      <c r="C127" s="8">
        <v>8000</v>
      </c>
      <c r="L127" s="2" t="s">
        <v>30</v>
      </c>
      <c r="M127" s="14">
        <v>21</v>
      </c>
    </row>
    <row r="128" spans="2:13" x14ac:dyDescent="0.3">
      <c r="B128" s="5">
        <v>7.5</v>
      </c>
      <c r="C128" s="6">
        <v>8000</v>
      </c>
      <c r="L128" s="2" t="s">
        <v>22</v>
      </c>
      <c r="M128" s="14">
        <v>10</v>
      </c>
    </row>
    <row r="129" spans="2:13" x14ac:dyDescent="0.3">
      <c r="B129" s="7">
        <v>7.5</v>
      </c>
      <c r="C129" s="8">
        <v>8000</v>
      </c>
      <c r="L129" s="2" t="s">
        <v>15</v>
      </c>
      <c r="M129" s="14">
        <v>148</v>
      </c>
    </row>
    <row r="130" spans="2:13" x14ac:dyDescent="0.3">
      <c r="B130" s="5">
        <v>6</v>
      </c>
      <c r="C130" s="6">
        <v>5000</v>
      </c>
      <c r="L130" s="2" t="s">
        <v>60</v>
      </c>
      <c r="M130" s="14">
        <v>374</v>
      </c>
    </row>
    <row r="131" spans="2:13" x14ac:dyDescent="0.3">
      <c r="B131" s="7">
        <v>7.6</v>
      </c>
      <c r="C131" s="8">
        <v>8000</v>
      </c>
    </row>
    <row r="132" spans="2:13" x14ac:dyDescent="0.3">
      <c r="B132" s="5">
        <v>6</v>
      </c>
      <c r="C132" s="6">
        <v>5000</v>
      </c>
    </row>
    <row r="133" spans="2:13" x14ac:dyDescent="0.3">
      <c r="B133" s="7">
        <v>6</v>
      </c>
      <c r="C133" s="8">
        <v>5000</v>
      </c>
    </row>
    <row r="134" spans="2:13" x14ac:dyDescent="0.3">
      <c r="B134" s="5">
        <v>7.7</v>
      </c>
      <c r="C134" s="6">
        <v>8000</v>
      </c>
    </row>
    <row r="135" spans="2:13" x14ac:dyDescent="0.3">
      <c r="B135" s="7">
        <v>6</v>
      </c>
      <c r="C135" s="8">
        <v>5000</v>
      </c>
    </row>
    <row r="136" spans="2:13" x14ac:dyDescent="0.3">
      <c r="B136" s="5">
        <v>6</v>
      </c>
      <c r="C136" s="6">
        <v>5000</v>
      </c>
    </row>
    <row r="137" spans="2:13" x14ac:dyDescent="0.3">
      <c r="B137" s="7">
        <v>7.7</v>
      </c>
      <c r="C137" s="8">
        <v>8000</v>
      </c>
    </row>
    <row r="138" spans="2:13" x14ac:dyDescent="0.3">
      <c r="B138" s="5">
        <v>6</v>
      </c>
      <c r="C138" s="6">
        <v>5000</v>
      </c>
    </row>
    <row r="139" spans="2:13" x14ac:dyDescent="0.3">
      <c r="B139" s="7">
        <v>6</v>
      </c>
      <c r="C139" s="8">
        <v>5000</v>
      </c>
    </row>
    <row r="140" spans="2:13" x14ac:dyDescent="0.3">
      <c r="B140" s="5">
        <v>6.2</v>
      </c>
      <c r="C140" s="6">
        <v>5000</v>
      </c>
    </row>
    <row r="141" spans="2:13" x14ac:dyDescent="0.3">
      <c r="B141" s="7">
        <v>6.2</v>
      </c>
      <c r="C141" s="8">
        <v>5000</v>
      </c>
    </row>
    <row r="142" spans="2:13" x14ac:dyDescent="0.3">
      <c r="B142" s="5">
        <v>6.2</v>
      </c>
      <c r="C142" s="6">
        <v>5000</v>
      </c>
    </row>
    <row r="143" spans="2:13" x14ac:dyDescent="0.3">
      <c r="B143" s="7">
        <v>6.2</v>
      </c>
      <c r="C143" s="8">
        <v>5000</v>
      </c>
    </row>
    <row r="144" spans="2:13" x14ac:dyDescent="0.3">
      <c r="B144" s="5">
        <v>7.2</v>
      </c>
      <c r="C144" s="6">
        <v>7000</v>
      </c>
    </row>
    <row r="145" spans="2:3" x14ac:dyDescent="0.3">
      <c r="B145" s="7">
        <v>6</v>
      </c>
      <c r="C145" s="8">
        <v>5000</v>
      </c>
    </row>
    <row r="146" spans="2:3" x14ac:dyDescent="0.3">
      <c r="B146" s="5">
        <v>6.2</v>
      </c>
      <c r="C146" s="6">
        <v>5500</v>
      </c>
    </row>
    <row r="147" spans="2:3" x14ac:dyDescent="0.3">
      <c r="B147" s="7">
        <v>6.2</v>
      </c>
      <c r="C147" s="8">
        <v>5500</v>
      </c>
    </row>
    <row r="148" spans="2:3" x14ac:dyDescent="0.3">
      <c r="B148" s="5">
        <v>6.1</v>
      </c>
      <c r="C148" s="6">
        <v>5000</v>
      </c>
    </row>
    <row r="149" spans="2:3" x14ac:dyDescent="0.3">
      <c r="B149" s="7">
        <v>6.1</v>
      </c>
      <c r="C149" s="8">
        <v>5000</v>
      </c>
    </row>
    <row r="150" spans="2:3" x14ac:dyDescent="0.3">
      <c r="B150" s="5">
        <v>6.1</v>
      </c>
      <c r="C150" s="6">
        <v>5000</v>
      </c>
    </row>
    <row r="151" spans="2:3" x14ac:dyDescent="0.3">
      <c r="B151" s="7">
        <v>6.1</v>
      </c>
      <c r="C151" s="8">
        <v>5000</v>
      </c>
    </row>
    <row r="152" spans="2:3" x14ac:dyDescent="0.3">
      <c r="B152" s="5">
        <v>6</v>
      </c>
      <c r="C152" s="6">
        <v>5000</v>
      </c>
    </row>
    <row r="153" spans="2:3" x14ac:dyDescent="0.3">
      <c r="B153" s="7">
        <v>6</v>
      </c>
      <c r="C153" s="8">
        <v>5000</v>
      </c>
    </row>
    <row r="154" spans="2:3" x14ac:dyDescent="0.3">
      <c r="B154" s="5">
        <v>6</v>
      </c>
      <c r="C154" s="6">
        <v>5000</v>
      </c>
    </row>
    <row r="155" spans="2:3" x14ac:dyDescent="0.3">
      <c r="B155" s="7">
        <v>6</v>
      </c>
      <c r="C155" s="8">
        <v>5000</v>
      </c>
    </row>
    <row r="156" spans="2:3" x14ac:dyDescent="0.3">
      <c r="B156" s="5">
        <v>6</v>
      </c>
      <c r="C156" s="6">
        <v>5000</v>
      </c>
    </row>
    <row r="157" spans="2:3" x14ac:dyDescent="0.3">
      <c r="B157" s="7">
        <v>6</v>
      </c>
      <c r="C157" s="8">
        <v>5000</v>
      </c>
    </row>
    <row r="158" spans="2:3" x14ac:dyDescent="0.3">
      <c r="B158" s="5">
        <v>5.8</v>
      </c>
      <c r="C158" s="6">
        <v>5200</v>
      </c>
    </row>
    <row r="159" spans="2:3" x14ac:dyDescent="0.3">
      <c r="B159" s="7">
        <v>5.8</v>
      </c>
      <c r="C159" s="8">
        <v>5200</v>
      </c>
    </row>
    <row r="160" spans="2:3" x14ac:dyDescent="0.3">
      <c r="B160" s="5">
        <v>6.7</v>
      </c>
      <c r="C160" s="6">
        <v>5600</v>
      </c>
    </row>
    <row r="161" spans="2:3" x14ac:dyDescent="0.3">
      <c r="B161" s="7">
        <v>6.7</v>
      </c>
      <c r="C161" s="8">
        <v>5600</v>
      </c>
    </row>
    <row r="162" spans="2:3" x14ac:dyDescent="0.3">
      <c r="B162" s="5">
        <v>7.5</v>
      </c>
      <c r="C162" s="6">
        <v>8000</v>
      </c>
    </row>
    <row r="163" spans="2:3" x14ac:dyDescent="0.3">
      <c r="B163" s="7">
        <v>7.2</v>
      </c>
      <c r="C163" s="8">
        <v>7000</v>
      </c>
    </row>
    <row r="164" spans="2:3" x14ac:dyDescent="0.3">
      <c r="B164" s="5">
        <v>7.2</v>
      </c>
      <c r="C164" s="6">
        <v>5000</v>
      </c>
    </row>
    <row r="165" spans="2:3" x14ac:dyDescent="0.3">
      <c r="B165" s="7">
        <v>7.2</v>
      </c>
      <c r="C165" s="8">
        <v>5000</v>
      </c>
    </row>
    <row r="166" spans="2:3" x14ac:dyDescent="0.3">
      <c r="B166" s="5">
        <v>7.3</v>
      </c>
      <c r="C166" s="6">
        <v>5000</v>
      </c>
    </row>
    <row r="167" spans="2:3" x14ac:dyDescent="0.3">
      <c r="B167" s="7">
        <v>7.3</v>
      </c>
      <c r="C167" s="8">
        <v>5000</v>
      </c>
    </row>
    <row r="168" spans="2:3" x14ac:dyDescent="0.3">
      <c r="B168" s="5">
        <v>7.3</v>
      </c>
      <c r="C168" s="6">
        <v>5000</v>
      </c>
    </row>
    <row r="169" spans="2:3" x14ac:dyDescent="0.3">
      <c r="B169" s="7">
        <v>7.3</v>
      </c>
      <c r="C169" s="8">
        <v>5000</v>
      </c>
    </row>
    <row r="170" spans="2:3" x14ac:dyDescent="0.3">
      <c r="B170" s="5">
        <v>7.5</v>
      </c>
      <c r="C170" s="6">
        <v>8000</v>
      </c>
    </row>
    <row r="171" spans="2:3" x14ac:dyDescent="0.3">
      <c r="B171" s="7">
        <v>7.4</v>
      </c>
      <c r="C171" s="8">
        <v>3300</v>
      </c>
    </row>
    <row r="172" spans="2:3" x14ac:dyDescent="0.3">
      <c r="B172" s="5">
        <v>7.2</v>
      </c>
      <c r="C172" s="6">
        <v>7000</v>
      </c>
    </row>
    <row r="173" spans="2:3" x14ac:dyDescent="0.3">
      <c r="B173" s="7">
        <v>7.1</v>
      </c>
      <c r="C173" s="8">
        <v>7000</v>
      </c>
    </row>
    <row r="174" spans="2:3" x14ac:dyDescent="0.3">
      <c r="B174" s="5">
        <v>7.2</v>
      </c>
      <c r="C174" s="6">
        <v>7000</v>
      </c>
    </row>
    <row r="175" spans="2:3" x14ac:dyDescent="0.3">
      <c r="B175" s="7">
        <v>7.1</v>
      </c>
      <c r="C175" s="8">
        <v>7000</v>
      </c>
    </row>
    <row r="176" spans="2:3" x14ac:dyDescent="0.3">
      <c r="B176" s="5">
        <v>7.1</v>
      </c>
      <c r="C176" s="6">
        <v>7000</v>
      </c>
    </row>
    <row r="177" spans="2:3" x14ac:dyDescent="0.3">
      <c r="B177" s="7">
        <v>7.1</v>
      </c>
      <c r="C177" s="8">
        <v>7000</v>
      </c>
    </row>
    <row r="178" spans="2:3" x14ac:dyDescent="0.3">
      <c r="B178" s="5">
        <v>7.2</v>
      </c>
      <c r="C178" s="6">
        <v>7000</v>
      </c>
    </row>
    <row r="179" spans="2:3" x14ac:dyDescent="0.3">
      <c r="B179" s="7">
        <v>7.2</v>
      </c>
      <c r="C179" s="8">
        <v>7000</v>
      </c>
    </row>
    <row r="180" spans="2:3" x14ac:dyDescent="0.3">
      <c r="B180" s="5">
        <v>7.2</v>
      </c>
      <c r="C180" s="6">
        <v>7000</v>
      </c>
    </row>
    <row r="181" spans="2:3" x14ac:dyDescent="0.3">
      <c r="B181" s="7">
        <v>6.6</v>
      </c>
      <c r="C181" s="8">
        <v>4800</v>
      </c>
    </row>
    <row r="182" spans="2:3" x14ac:dyDescent="0.3">
      <c r="B182" s="5">
        <v>7.2</v>
      </c>
      <c r="C182" s="6">
        <v>7000</v>
      </c>
    </row>
    <row r="183" spans="2:3" x14ac:dyDescent="0.3">
      <c r="B183" s="7">
        <v>6.6</v>
      </c>
      <c r="C183" s="8">
        <v>4800</v>
      </c>
    </row>
    <row r="184" spans="2:3" x14ac:dyDescent="0.3">
      <c r="B184" s="5">
        <v>6.1</v>
      </c>
      <c r="C184" s="6">
        <v>4200</v>
      </c>
    </row>
    <row r="185" spans="2:3" x14ac:dyDescent="0.3">
      <c r="B185" s="7">
        <v>7.8</v>
      </c>
      <c r="C185" s="8">
        <v>7000</v>
      </c>
    </row>
    <row r="186" spans="2:3" x14ac:dyDescent="0.3">
      <c r="B186" s="5">
        <v>7.8</v>
      </c>
      <c r="C186" s="6">
        <v>7000</v>
      </c>
    </row>
    <row r="187" spans="2:3" x14ac:dyDescent="0.3">
      <c r="B187" s="7">
        <v>7.4</v>
      </c>
      <c r="C187" s="8">
        <v>8000</v>
      </c>
    </row>
    <row r="188" spans="2:3" x14ac:dyDescent="0.3">
      <c r="B188" s="5">
        <v>7.2</v>
      </c>
      <c r="C188" s="6">
        <v>7000</v>
      </c>
    </row>
    <row r="189" spans="2:3" x14ac:dyDescent="0.3">
      <c r="B189" s="7">
        <v>7.4</v>
      </c>
      <c r="C189" s="8">
        <v>8000</v>
      </c>
    </row>
    <row r="190" spans="2:3" x14ac:dyDescent="0.3">
      <c r="B190" s="5">
        <v>7.2</v>
      </c>
      <c r="C190" s="6">
        <v>7000</v>
      </c>
    </row>
    <row r="191" spans="2:3" x14ac:dyDescent="0.3">
      <c r="B191" s="7">
        <v>7.4</v>
      </c>
      <c r="C191" s="8">
        <v>8000</v>
      </c>
    </row>
    <row r="192" spans="2:3" x14ac:dyDescent="0.3">
      <c r="B192" s="5">
        <v>7.2</v>
      </c>
      <c r="C192" s="6">
        <v>7000</v>
      </c>
    </row>
    <row r="193" spans="2:3" x14ac:dyDescent="0.3">
      <c r="B193" s="7">
        <v>7.2</v>
      </c>
      <c r="C193" s="8">
        <v>7000</v>
      </c>
    </row>
    <row r="194" spans="2:3" x14ac:dyDescent="0.3">
      <c r="B194" s="5">
        <v>7.2</v>
      </c>
      <c r="C194" s="6">
        <v>7000</v>
      </c>
    </row>
    <row r="195" spans="2:3" x14ac:dyDescent="0.3">
      <c r="B195" s="7">
        <v>7.2</v>
      </c>
      <c r="C195" s="8">
        <v>7000</v>
      </c>
    </row>
    <row r="196" spans="2:3" x14ac:dyDescent="0.3">
      <c r="B196" s="5">
        <v>7.2</v>
      </c>
      <c r="C196" s="6">
        <v>7000</v>
      </c>
    </row>
    <row r="197" spans="2:3" x14ac:dyDescent="0.3">
      <c r="B197" s="7">
        <v>7.2</v>
      </c>
      <c r="C197" s="8">
        <v>7000</v>
      </c>
    </row>
    <row r="198" spans="2:3" x14ac:dyDescent="0.3">
      <c r="B198" s="5">
        <v>7.2</v>
      </c>
      <c r="C198" s="6">
        <v>7000</v>
      </c>
    </row>
    <row r="199" spans="2:3" x14ac:dyDescent="0.3">
      <c r="B199" s="7">
        <v>7.2</v>
      </c>
      <c r="C199" s="8">
        <v>7000</v>
      </c>
    </row>
    <row r="200" spans="2:3" x14ac:dyDescent="0.3">
      <c r="B200" s="5">
        <v>7.2</v>
      </c>
      <c r="C200" s="6">
        <v>7000</v>
      </c>
    </row>
    <row r="201" spans="2:3" x14ac:dyDescent="0.3">
      <c r="B201" s="7">
        <v>7.2</v>
      </c>
      <c r="C201" s="8">
        <v>7000</v>
      </c>
    </row>
    <row r="202" spans="2:3" x14ac:dyDescent="0.3">
      <c r="B202" s="5">
        <v>7.2</v>
      </c>
      <c r="C202" s="6">
        <v>7000</v>
      </c>
    </row>
    <row r="203" spans="2:3" x14ac:dyDescent="0.3">
      <c r="B203" s="7">
        <v>7.5</v>
      </c>
      <c r="C203" s="8">
        <v>8000</v>
      </c>
    </row>
    <row r="204" spans="2:3" x14ac:dyDescent="0.3">
      <c r="B204" s="5">
        <v>7.3</v>
      </c>
      <c r="C204" s="6">
        <v>8000</v>
      </c>
    </row>
    <row r="205" spans="2:3" x14ac:dyDescent="0.3">
      <c r="B205" s="7">
        <v>7.1</v>
      </c>
      <c r="C205" s="8">
        <v>7000</v>
      </c>
    </row>
    <row r="206" spans="2:3" x14ac:dyDescent="0.3">
      <c r="B206" s="5">
        <v>7.3</v>
      </c>
      <c r="C206" s="6">
        <v>8000</v>
      </c>
    </row>
    <row r="207" spans="2:3" x14ac:dyDescent="0.3">
      <c r="B207" s="7">
        <v>7.3</v>
      </c>
      <c r="C207" s="8">
        <v>8000</v>
      </c>
    </row>
    <row r="208" spans="2:3" x14ac:dyDescent="0.3">
      <c r="B208" s="5">
        <v>7.1</v>
      </c>
      <c r="C208" s="6">
        <v>7000</v>
      </c>
    </row>
    <row r="209" spans="2:3" x14ac:dyDescent="0.3">
      <c r="B209" s="7">
        <v>7.3</v>
      </c>
      <c r="C209" s="8">
        <v>8000</v>
      </c>
    </row>
    <row r="210" spans="2:3" x14ac:dyDescent="0.3">
      <c r="B210" s="5">
        <v>7.3</v>
      </c>
      <c r="C210" s="6">
        <v>8000</v>
      </c>
    </row>
    <row r="211" spans="2:3" x14ac:dyDescent="0.3">
      <c r="B211" s="7">
        <v>7.1</v>
      </c>
      <c r="C211" s="8">
        <v>7000</v>
      </c>
    </row>
    <row r="212" spans="2:3" x14ac:dyDescent="0.3">
      <c r="B212" s="5">
        <v>7.3</v>
      </c>
      <c r="C212" s="6">
        <v>8000</v>
      </c>
    </row>
    <row r="213" spans="2:3" x14ac:dyDescent="0.3">
      <c r="B213" s="7">
        <v>7.3</v>
      </c>
      <c r="C213" s="8">
        <v>8000</v>
      </c>
    </row>
    <row r="214" spans="2:3" x14ac:dyDescent="0.3">
      <c r="B214" s="5">
        <v>7.1</v>
      </c>
      <c r="C214" s="6">
        <v>7000</v>
      </c>
    </row>
    <row r="215" spans="2:3" x14ac:dyDescent="0.3">
      <c r="B215" s="7">
        <v>7.1</v>
      </c>
      <c r="C215" s="8">
        <v>8000</v>
      </c>
    </row>
    <row r="216" spans="2:3" x14ac:dyDescent="0.3">
      <c r="B216" s="5">
        <v>7.1</v>
      </c>
      <c r="C216" s="6">
        <v>7000</v>
      </c>
    </row>
    <row r="217" spans="2:3" x14ac:dyDescent="0.3">
      <c r="B217" s="7">
        <v>7.1</v>
      </c>
      <c r="C217" s="8">
        <v>8000</v>
      </c>
    </row>
    <row r="218" spans="2:3" x14ac:dyDescent="0.3">
      <c r="B218" s="5">
        <v>7.1</v>
      </c>
      <c r="C218" s="6">
        <v>7000</v>
      </c>
    </row>
    <row r="219" spans="2:3" x14ac:dyDescent="0.3">
      <c r="B219" s="7">
        <v>7.1</v>
      </c>
      <c r="C219" s="8">
        <v>8000</v>
      </c>
    </row>
    <row r="220" spans="2:3" x14ac:dyDescent="0.3">
      <c r="B220" s="5">
        <v>7.1</v>
      </c>
      <c r="C220" s="6">
        <v>7000</v>
      </c>
    </row>
    <row r="221" spans="2:3" x14ac:dyDescent="0.3">
      <c r="B221" s="7">
        <v>7.1</v>
      </c>
      <c r="C221" s="8">
        <v>7000</v>
      </c>
    </row>
    <row r="222" spans="2:3" x14ac:dyDescent="0.3">
      <c r="B222" s="5">
        <v>7.1</v>
      </c>
      <c r="C222" s="6">
        <v>8000</v>
      </c>
    </row>
    <row r="223" spans="2:3" x14ac:dyDescent="0.3">
      <c r="B223" s="7">
        <v>7.4</v>
      </c>
      <c r="C223" s="8">
        <v>3300</v>
      </c>
    </row>
    <row r="224" spans="2:3" x14ac:dyDescent="0.3">
      <c r="B224" s="5">
        <v>7.2</v>
      </c>
      <c r="C224" s="6">
        <v>8000</v>
      </c>
    </row>
    <row r="225" spans="2:3" x14ac:dyDescent="0.3">
      <c r="B225" s="7">
        <v>6.5</v>
      </c>
      <c r="C225" s="8">
        <v>4000</v>
      </c>
    </row>
    <row r="226" spans="2:3" x14ac:dyDescent="0.3">
      <c r="B226" s="5">
        <v>6.9</v>
      </c>
      <c r="C226" s="6">
        <v>5500</v>
      </c>
    </row>
    <row r="227" spans="2:3" x14ac:dyDescent="0.3">
      <c r="B227" s="7">
        <v>8</v>
      </c>
      <c r="C227" s="8">
        <v>7500</v>
      </c>
    </row>
    <row r="228" spans="2:3" x14ac:dyDescent="0.3">
      <c r="B228" s="5">
        <v>8</v>
      </c>
      <c r="C228" s="6">
        <v>7500</v>
      </c>
    </row>
    <row r="229" spans="2:3" x14ac:dyDescent="0.3">
      <c r="B229" s="7">
        <v>7.2</v>
      </c>
      <c r="C229" s="8">
        <v>8000</v>
      </c>
    </row>
    <row r="230" spans="2:3" x14ac:dyDescent="0.3">
      <c r="B230" s="5">
        <v>7.2</v>
      </c>
      <c r="C230" s="6">
        <v>8000</v>
      </c>
    </row>
    <row r="231" spans="2:3" x14ac:dyDescent="0.3">
      <c r="B231" s="7">
        <v>7.2</v>
      </c>
      <c r="C231" s="8">
        <v>8000</v>
      </c>
    </row>
    <row r="232" spans="2:3" x14ac:dyDescent="0.3">
      <c r="B232" s="5">
        <v>7.2</v>
      </c>
      <c r="C232" s="6">
        <v>8000</v>
      </c>
    </row>
    <row r="233" spans="2:3" x14ac:dyDescent="0.3">
      <c r="B233" s="7">
        <v>7.2</v>
      </c>
      <c r="C233" s="8">
        <v>8000</v>
      </c>
    </row>
    <row r="234" spans="2:3" x14ac:dyDescent="0.3">
      <c r="B234" s="5">
        <v>7.2</v>
      </c>
      <c r="C234" s="6">
        <v>8000</v>
      </c>
    </row>
    <row r="235" spans="2:3" x14ac:dyDescent="0.3">
      <c r="B235" s="7">
        <v>7.2</v>
      </c>
      <c r="C235" s="8">
        <v>8000</v>
      </c>
    </row>
    <row r="236" spans="2:3" x14ac:dyDescent="0.3">
      <c r="B236" s="5">
        <v>7.2</v>
      </c>
      <c r="C236" s="6">
        <v>8000</v>
      </c>
    </row>
    <row r="237" spans="2:3" x14ac:dyDescent="0.3">
      <c r="B237" s="7">
        <v>7.2</v>
      </c>
      <c r="C237" s="8">
        <v>8000</v>
      </c>
    </row>
    <row r="238" spans="2:3" x14ac:dyDescent="0.3">
      <c r="B238" s="5">
        <v>7.2</v>
      </c>
      <c r="C238" s="6">
        <v>8000</v>
      </c>
    </row>
    <row r="239" spans="2:3" x14ac:dyDescent="0.3">
      <c r="B239" s="7">
        <v>7.2</v>
      </c>
      <c r="C239" s="8">
        <v>7300</v>
      </c>
    </row>
    <row r="240" spans="2:3" x14ac:dyDescent="0.3">
      <c r="B240" s="5">
        <v>7.2</v>
      </c>
      <c r="C240" s="6">
        <v>7300</v>
      </c>
    </row>
    <row r="241" spans="2:3" x14ac:dyDescent="0.3">
      <c r="B241" s="7">
        <v>7.9</v>
      </c>
      <c r="C241" s="8">
        <v>8000</v>
      </c>
    </row>
    <row r="242" spans="2:3" x14ac:dyDescent="0.3">
      <c r="B242" s="5">
        <v>7.9</v>
      </c>
      <c r="C242" s="6">
        <v>8000</v>
      </c>
    </row>
    <row r="243" spans="2:3" x14ac:dyDescent="0.3">
      <c r="B243" s="7">
        <v>7.6</v>
      </c>
      <c r="C243" s="8">
        <v>8000</v>
      </c>
    </row>
    <row r="244" spans="2:3" x14ac:dyDescent="0.3">
      <c r="B244" s="5">
        <v>7.3</v>
      </c>
      <c r="C244" s="6">
        <v>6200</v>
      </c>
    </row>
    <row r="245" spans="2:3" x14ac:dyDescent="0.3">
      <c r="B245" s="7">
        <v>7.1</v>
      </c>
      <c r="C245" s="8">
        <v>6000</v>
      </c>
    </row>
    <row r="246" spans="2:3" x14ac:dyDescent="0.3">
      <c r="B246" s="5">
        <v>7.1</v>
      </c>
      <c r="C246" s="6">
        <v>6000</v>
      </c>
    </row>
    <row r="247" spans="2:3" x14ac:dyDescent="0.3">
      <c r="B247" s="7">
        <v>7.7</v>
      </c>
      <c r="C247" s="8">
        <v>8000</v>
      </c>
    </row>
    <row r="248" spans="2:3" x14ac:dyDescent="0.3">
      <c r="B248" s="5">
        <v>7.7</v>
      </c>
      <c r="C248" s="6">
        <v>8000</v>
      </c>
    </row>
    <row r="249" spans="2:3" x14ac:dyDescent="0.3">
      <c r="B249" s="7">
        <v>7.7</v>
      </c>
      <c r="C249" s="8">
        <v>8000</v>
      </c>
    </row>
    <row r="250" spans="2:3" x14ac:dyDescent="0.3">
      <c r="B250" s="5">
        <v>7.7</v>
      </c>
      <c r="C250" s="6">
        <v>8000</v>
      </c>
    </row>
    <row r="251" spans="2:3" x14ac:dyDescent="0.3">
      <c r="B251" s="7">
        <v>7.7</v>
      </c>
      <c r="C251" s="8">
        <v>8000</v>
      </c>
    </row>
    <row r="252" spans="2:3" x14ac:dyDescent="0.3">
      <c r="B252" s="5">
        <v>7.6</v>
      </c>
      <c r="C252" s="6">
        <v>8000</v>
      </c>
    </row>
    <row r="253" spans="2:3" x14ac:dyDescent="0.3">
      <c r="B253" s="7">
        <v>7.6</v>
      </c>
      <c r="C253" s="8">
        <v>8000</v>
      </c>
    </row>
    <row r="254" spans="2:3" x14ac:dyDescent="0.3">
      <c r="B254" s="5">
        <v>7.6</v>
      </c>
      <c r="C254" s="6">
        <v>8000</v>
      </c>
    </row>
    <row r="255" spans="2:3" x14ac:dyDescent="0.3">
      <c r="B255" s="7">
        <v>6.5</v>
      </c>
      <c r="C255" s="8">
        <v>6000</v>
      </c>
    </row>
    <row r="256" spans="2:3" x14ac:dyDescent="0.3">
      <c r="B256" s="5">
        <v>7.8</v>
      </c>
      <c r="C256" s="6">
        <v>8000</v>
      </c>
    </row>
    <row r="257" spans="2:3" x14ac:dyDescent="0.3">
      <c r="B257" s="7">
        <v>7.8</v>
      </c>
      <c r="C257" s="8">
        <v>8000</v>
      </c>
    </row>
    <row r="258" spans="2:3" x14ac:dyDescent="0.3">
      <c r="B258" s="5">
        <v>7.8</v>
      </c>
      <c r="C258" s="6">
        <v>8000</v>
      </c>
    </row>
    <row r="259" spans="2:3" x14ac:dyDescent="0.3">
      <c r="B259" s="7">
        <v>7.8</v>
      </c>
      <c r="C259" s="8">
        <v>8000</v>
      </c>
    </row>
    <row r="260" spans="2:3" x14ac:dyDescent="0.3">
      <c r="B260" s="5">
        <v>7.8</v>
      </c>
      <c r="C260" s="6">
        <v>8000</v>
      </c>
    </row>
    <row r="261" spans="2:3" x14ac:dyDescent="0.3">
      <c r="B261" s="7">
        <v>7.8</v>
      </c>
      <c r="C261" s="8">
        <v>8000</v>
      </c>
    </row>
    <row r="262" spans="2:3" x14ac:dyDescent="0.3">
      <c r="B262" s="5">
        <v>6.8</v>
      </c>
      <c r="C262" s="6">
        <v>5000</v>
      </c>
    </row>
    <row r="263" spans="2:3" x14ac:dyDescent="0.3">
      <c r="B263" s="7">
        <v>6.8</v>
      </c>
      <c r="C263" s="8">
        <v>5000</v>
      </c>
    </row>
    <row r="264" spans="2:3" x14ac:dyDescent="0.3">
      <c r="B264" s="5">
        <v>6.7</v>
      </c>
      <c r="C264" s="6">
        <v>6000</v>
      </c>
    </row>
    <row r="265" spans="2:3" x14ac:dyDescent="0.3">
      <c r="B265" s="7">
        <v>6.3</v>
      </c>
      <c r="C265" s="8">
        <v>6000</v>
      </c>
    </row>
    <row r="266" spans="2:3" x14ac:dyDescent="0.3">
      <c r="B266" s="5">
        <v>6.7</v>
      </c>
      <c r="C266" s="6">
        <v>6000</v>
      </c>
    </row>
    <row r="267" spans="2:3" x14ac:dyDescent="0.3">
      <c r="B267" s="7">
        <v>6.5</v>
      </c>
      <c r="C267" s="8">
        <v>6000</v>
      </c>
    </row>
    <row r="268" spans="2:3" x14ac:dyDescent="0.3">
      <c r="B268" s="5">
        <v>6.7</v>
      </c>
      <c r="C268" s="6">
        <v>6000</v>
      </c>
    </row>
    <row r="269" spans="2:3" x14ac:dyDescent="0.3">
      <c r="B269" s="7">
        <v>6.4</v>
      </c>
      <c r="C269" s="8">
        <v>6000</v>
      </c>
    </row>
    <row r="270" spans="2:3" x14ac:dyDescent="0.3">
      <c r="B270" s="5">
        <v>6.5</v>
      </c>
      <c r="C270" s="6">
        <v>6000</v>
      </c>
    </row>
    <row r="271" spans="2:3" x14ac:dyDescent="0.3">
      <c r="B271" s="7">
        <v>6.5</v>
      </c>
      <c r="C271" s="8">
        <v>6000</v>
      </c>
    </row>
    <row r="272" spans="2:3" x14ac:dyDescent="0.3">
      <c r="B272" s="5">
        <v>6.5</v>
      </c>
      <c r="C272" s="6">
        <v>6000</v>
      </c>
    </row>
    <row r="273" spans="2:3" x14ac:dyDescent="0.3">
      <c r="B273" s="7">
        <v>6.5</v>
      </c>
      <c r="C273" s="8">
        <v>6000</v>
      </c>
    </row>
    <row r="274" spans="2:3" x14ac:dyDescent="0.3">
      <c r="B274" s="5">
        <v>6.5</v>
      </c>
      <c r="C274" s="6">
        <v>6000</v>
      </c>
    </row>
    <row r="275" spans="2:3" x14ac:dyDescent="0.3">
      <c r="B275" s="7">
        <v>6.5</v>
      </c>
      <c r="C275" s="8">
        <v>6000</v>
      </c>
    </row>
    <row r="276" spans="2:3" x14ac:dyDescent="0.3">
      <c r="B276" s="5">
        <v>6.5</v>
      </c>
      <c r="C276" s="6">
        <v>6000</v>
      </c>
    </row>
    <row r="277" spans="2:3" x14ac:dyDescent="0.3">
      <c r="B277" s="7">
        <v>6.5</v>
      </c>
      <c r="C277" s="8">
        <v>6000</v>
      </c>
    </row>
    <row r="278" spans="2:3" x14ac:dyDescent="0.3">
      <c r="B278" s="5">
        <v>6.5</v>
      </c>
      <c r="C278" s="6">
        <v>6000</v>
      </c>
    </row>
    <row r="279" spans="2:3" x14ac:dyDescent="0.3">
      <c r="B279" s="7">
        <v>7.8</v>
      </c>
      <c r="C279" s="8">
        <v>8000</v>
      </c>
    </row>
    <row r="280" spans="2:3" x14ac:dyDescent="0.3">
      <c r="B280" s="5">
        <v>7.8</v>
      </c>
      <c r="C280" s="6">
        <v>8000</v>
      </c>
    </row>
    <row r="281" spans="2:3" x14ac:dyDescent="0.3">
      <c r="B281" s="7">
        <v>6.9</v>
      </c>
      <c r="C281" s="8">
        <v>6800</v>
      </c>
    </row>
    <row r="282" spans="2:3" x14ac:dyDescent="0.3">
      <c r="B282" s="5">
        <v>7.6</v>
      </c>
      <c r="C282" s="6">
        <v>6800</v>
      </c>
    </row>
    <row r="283" spans="2:3" x14ac:dyDescent="0.3">
      <c r="B283" s="7">
        <v>7.7</v>
      </c>
      <c r="C283" s="8">
        <v>8000</v>
      </c>
    </row>
    <row r="284" spans="2:3" x14ac:dyDescent="0.3">
      <c r="B284" s="5">
        <v>7.7</v>
      </c>
      <c r="C284" s="6">
        <v>8000</v>
      </c>
    </row>
    <row r="285" spans="2:3" x14ac:dyDescent="0.3">
      <c r="B285" s="7">
        <v>7.7</v>
      </c>
      <c r="C285" s="8">
        <v>8000</v>
      </c>
    </row>
    <row r="286" spans="2:3" x14ac:dyDescent="0.3">
      <c r="B286" s="5">
        <v>7.7</v>
      </c>
      <c r="C286" s="6">
        <v>8000</v>
      </c>
    </row>
    <row r="287" spans="2:3" x14ac:dyDescent="0.3">
      <c r="B287" s="7">
        <v>7.8</v>
      </c>
      <c r="C287" s="8">
        <v>8000</v>
      </c>
    </row>
    <row r="288" spans="2:3" x14ac:dyDescent="0.3">
      <c r="B288" s="5">
        <v>7.7</v>
      </c>
      <c r="C288" s="6">
        <v>8000</v>
      </c>
    </row>
    <row r="289" spans="2:3" x14ac:dyDescent="0.3">
      <c r="B289" s="7">
        <v>7.8</v>
      </c>
      <c r="C289" s="8">
        <v>8000</v>
      </c>
    </row>
    <row r="290" spans="2:3" x14ac:dyDescent="0.3">
      <c r="B290" s="5">
        <v>7.8</v>
      </c>
      <c r="C290" s="6">
        <v>8000</v>
      </c>
    </row>
    <row r="291" spans="2:3" x14ac:dyDescent="0.3">
      <c r="B291" s="7">
        <v>7.8</v>
      </c>
      <c r="C291" s="8">
        <v>8000</v>
      </c>
    </row>
    <row r="292" spans="2:3" x14ac:dyDescent="0.3">
      <c r="B292" s="5">
        <v>7.8</v>
      </c>
      <c r="C292" s="6">
        <v>8000</v>
      </c>
    </row>
    <row r="293" spans="2:3" x14ac:dyDescent="0.3">
      <c r="B293" s="7">
        <v>7.8</v>
      </c>
      <c r="C293" s="8">
        <v>8000</v>
      </c>
    </row>
    <row r="294" spans="2:3" x14ac:dyDescent="0.3">
      <c r="B294" s="5">
        <v>7.8</v>
      </c>
      <c r="C294" s="6">
        <v>8000</v>
      </c>
    </row>
    <row r="295" spans="2:3" x14ac:dyDescent="0.3">
      <c r="B295" s="7">
        <v>7.8</v>
      </c>
      <c r="C295" s="8">
        <v>8000</v>
      </c>
    </row>
    <row r="296" spans="2:3" x14ac:dyDescent="0.3">
      <c r="B296" s="5">
        <v>7.8</v>
      </c>
      <c r="C296" s="6">
        <v>8000</v>
      </c>
    </row>
    <row r="297" spans="2:3" x14ac:dyDescent="0.3">
      <c r="B297" s="7">
        <v>6.5</v>
      </c>
      <c r="C297" s="8">
        <v>6000</v>
      </c>
    </row>
    <row r="298" spans="2:3" x14ac:dyDescent="0.3">
      <c r="B298" s="5">
        <v>6.6</v>
      </c>
      <c r="C298" s="6">
        <v>6000</v>
      </c>
    </row>
    <row r="299" spans="2:3" x14ac:dyDescent="0.3">
      <c r="B299" s="7">
        <v>6.4</v>
      </c>
      <c r="C299" s="8">
        <v>6000</v>
      </c>
    </row>
    <row r="300" spans="2:3" x14ac:dyDescent="0.3">
      <c r="B300" s="5">
        <v>6.3</v>
      </c>
      <c r="C300" s="6">
        <v>6000</v>
      </c>
    </row>
    <row r="301" spans="2:3" x14ac:dyDescent="0.3">
      <c r="B301" s="7">
        <v>6.4</v>
      </c>
      <c r="C301" s="8">
        <v>6000</v>
      </c>
    </row>
    <row r="302" spans="2:3" x14ac:dyDescent="0.3">
      <c r="B302" s="5">
        <v>6.6</v>
      </c>
      <c r="C302" s="6">
        <v>6000</v>
      </c>
    </row>
    <row r="303" spans="2:3" x14ac:dyDescent="0.3">
      <c r="B303" s="7">
        <v>6.3</v>
      </c>
      <c r="C303" s="8">
        <v>6000</v>
      </c>
    </row>
    <row r="304" spans="2:3" x14ac:dyDescent="0.3">
      <c r="B304" s="5">
        <v>6.6</v>
      </c>
      <c r="C304" s="6">
        <v>6000</v>
      </c>
    </row>
    <row r="305" spans="2:3" x14ac:dyDescent="0.3">
      <c r="B305" s="7">
        <v>6.3</v>
      </c>
      <c r="C305" s="8">
        <v>6000</v>
      </c>
    </row>
    <row r="306" spans="2:3" x14ac:dyDescent="0.3">
      <c r="B306" s="5">
        <v>6.6</v>
      </c>
      <c r="C306" s="6">
        <v>6000</v>
      </c>
    </row>
    <row r="307" spans="2:3" x14ac:dyDescent="0.3">
      <c r="B307" s="7">
        <v>6.3</v>
      </c>
      <c r="C307" s="8">
        <v>6000</v>
      </c>
    </row>
    <row r="308" spans="2:3" x14ac:dyDescent="0.3">
      <c r="B308" s="5">
        <v>6.6</v>
      </c>
      <c r="C308" s="6">
        <v>6000</v>
      </c>
    </row>
    <row r="309" spans="2:3" x14ac:dyDescent="0.3">
      <c r="B309" s="7">
        <v>6.3</v>
      </c>
      <c r="C309" s="8">
        <v>6000</v>
      </c>
    </row>
    <row r="310" spans="2:3" x14ac:dyDescent="0.3">
      <c r="B310" s="5">
        <v>6.6</v>
      </c>
      <c r="C310" s="6">
        <v>6000</v>
      </c>
    </row>
    <row r="311" spans="2:3" x14ac:dyDescent="0.3">
      <c r="B311" s="7">
        <v>6.3</v>
      </c>
      <c r="C311" s="8">
        <v>6000</v>
      </c>
    </row>
    <row r="312" spans="2:3" x14ac:dyDescent="0.3">
      <c r="B312" s="5">
        <v>6.6</v>
      </c>
      <c r="C312" s="6">
        <v>6000</v>
      </c>
    </row>
    <row r="313" spans="2:3" x14ac:dyDescent="0.3">
      <c r="B313" s="7">
        <v>6.3</v>
      </c>
      <c r="C313" s="8">
        <v>6000</v>
      </c>
    </row>
    <row r="314" spans="2:3" x14ac:dyDescent="0.3">
      <c r="B314" s="5">
        <v>6.4</v>
      </c>
      <c r="C314" s="6">
        <v>6000</v>
      </c>
    </row>
    <row r="315" spans="2:3" x14ac:dyDescent="0.3">
      <c r="B315" s="7">
        <v>6.5</v>
      </c>
      <c r="C315" s="8">
        <v>6000</v>
      </c>
    </row>
    <row r="316" spans="2:3" x14ac:dyDescent="0.3">
      <c r="B316" s="5">
        <v>6.3</v>
      </c>
      <c r="C316" s="6">
        <v>6000</v>
      </c>
    </row>
    <row r="317" spans="2:3" x14ac:dyDescent="0.3">
      <c r="B317" s="7">
        <v>6.4</v>
      </c>
      <c r="C317" s="8">
        <v>6000</v>
      </c>
    </row>
    <row r="318" spans="2:3" x14ac:dyDescent="0.3">
      <c r="B318" s="5">
        <v>6.5</v>
      </c>
      <c r="C318" s="6">
        <v>6000</v>
      </c>
    </row>
    <row r="319" spans="2:3" x14ac:dyDescent="0.3">
      <c r="B319" s="7">
        <v>6.3</v>
      </c>
      <c r="C319" s="8">
        <v>6000</v>
      </c>
    </row>
    <row r="320" spans="2:3" x14ac:dyDescent="0.3">
      <c r="B320" s="5">
        <v>6.4</v>
      </c>
      <c r="C320" s="6">
        <v>6000</v>
      </c>
    </row>
    <row r="321" spans="2:3" x14ac:dyDescent="0.3">
      <c r="B321" s="7">
        <v>6.5</v>
      </c>
      <c r="C321" s="8">
        <v>6000</v>
      </c>
    </row>
    <row r="322" spans="2:3" x14ac:dyDescent="0.3">
      <c r="B322" s="5">
        <v>6.3</v>
      </c>
      <c r="C322" s="6">
        <v>6000</v>
      </c>
    </row>
    <row r="323" spans="2:3" x14ac:dyDescent="0.3">
      <c r="B323" s="7">
        <v>6.5</v>
      </c>
      <c r="C323" s="8">
        <v>6000</v>
      </c>
    </row>
    <row r="324" spans="2:3" x14ac:dyDescent="0.3">
      <c r="B324" s="5">
        <v>6.3</v>
      </c>
      <c r="C324" s="6">
        <v>6000</v>
      </c>
    </row>
    <row r="325" spans="2:3" x14ac:dyDescent="0.3">
      <c r="B325" s="7">
        <v>6.8</v>
      </c>
      <c r="C325" s="8">
        <v>5000</v>
      </c>
    </row>
    <row r="326" spans="2:3" x14ac:dyDescent="0.3">
      <c r="B326" s="5">
        <v>6.4</v>
      </c>
      <c r="C326" s="6">
        <v>6000</v>
      </c>
    </row>
    <row r="327" spans="2:3" x14ac:dyDescent="0.3">
      <c r="B327" s="7">
        <v>6.5</v>
      </c>
      <c r="C327" s="8">
        <v>6000</v>
      </c>
    </row>
    <row r="328" spans="2:3" x14ac:dyDescent="0.3">
      <c r="B328" s="5">
        <v>6.8</v>
      </c>
      <c r="C328" s="6">
        <v>6000</v>
      </c>
    </row>
    <row r="329" spans="2:3" x14ac:dyDescent="0.3">
      <c r="B329" s="7">
        <v>6.8</v>
      </c>
      <c r="C329" s="8">
        <v>6000</v>
      </c>
    </row>
    <row r="330" spans="2:3" x14ac:dyDescent="0.3">
      <c r="B330" s="5">
        <v>6.5</v>
      </c>
      <c r="C330" s="6">
        <v>6000</v>
      </c>
    </row>
    <row r="331" spans="2:3" x14ac:dyDescent="0.3">
      <c r="B331" s="7">
        <v>6.5</v>
      </c>
      <c r="C331" s="8">
        <v>6000</v>
      </c>
    </row>
    <row r="332" spans="2:3" x14ac:dyDescent="0.3">
      <c r="B332" s="5">
        <v>6.5</v>
      </c>
      <c r="C332" s="6">
        <v>6000</v>
      </c>
    </row>
    <row r="333" spans="2:3" x14ac:dyDescent="0.3">
      <c r="B333" s="7">
        <v>6.5</v>
      </c>
      <c r="C333" s="8">
        <v>6000</v>
      </c>
    </row>
    <row r="334" spans="2:3" x14ac:dyDescent="0.3">
      <c r="B334" s="5">
        <v>6.6</v>
      </c>
      <c r="C334" s="6">
        <v>6000</v>
      </c>
    </row>
    <row r="335" spans="2:3" x14ac:dyDescent="0.3">
      <c r="B335" s="7">
        <v>6.6</v>
      </c>
      <c r="C335" s="8">
        <v>6000</v>
      </c>
    </row>
    <row r="336" spans="2:3" x14ac:dyDescent="0.3">
      <c r="B336" s="5">
        <v>6.6</v>
      </c>
      <c r="C336" s="6">
        <v>6000</v>
      </c>
    </row>
    <row r="337" spans="2:3" x14ac:dyDescent="0.3">
      <c r="B337" s="7">
        <v>6.6</v>
      </c>
      <c r="C337" s="8">
        <v>6000</v>
      </c>
    </row>
    <row r="338" spans="2:3" x14ac:dyDescent="0.3">
      <c r="B338" s="5">
        <v>6.6</v>
      </c>
      <c r="C338" s="6">
        <v>6000</v>
      </c>
    </row>
    <row r="339" spans="2:3" x14ac:dyDescent="0.3">
      <c r="B339" s="7">
        <v>6.6</v>
      </c>
      <c r="C339" s="8">
        <v>6000</v>
      </c>
    </row>
    <row r="340" spans="2:3" x14ac:dyDescent="0.3">
      <c r="B340" s="5">
        <v>6.6</v>
      </c>
      <c r="C340" s="6">
        <v>6000</v>
      </c>
    </row>
    <row r="341" spans="2:3" x14ac:dyDescent="0.3">
      <c r="B341" s="7">
        <v>6.9</v>
      </c>
      <c r="C341" s="8">
        <v>5500</v>
      </c>
    </row>
    <row r="342" spans="2:3" x14ac:dyDescent="0.3">
      <c r="B342" s="5">
        <v>7.3</v>
      </c>
      <c r="C342" s="6">
        <v>3500</v>
      </c>
    </row>
    <row r="343" spans="2:3" x14ac:dyDescent="0.3">
      <c r="B343" s="7">
        <v>5.9</v>
      </c>
      <c r="C343" s="8">
        <v>10000</v>
      </c>
    </row>
    <row r="344" spans="2:3" x14ac:dyDescent="0.3">
      <c r="B344" s="5">
        <v>7.3</v>
      </c>
      <c r="C344" s="6">
        <v>3500</v>
      </c>
    </row>
    <row r="345" spans="2:3" x14ac:dyDescent="0.3">
      <c r="B345" s="7">
        <v>6.2</v>
      </c>
      <c r="C345" s="8">
        <v>10000</v>
      </c>
    </row>
    <row r="346" spans="2:3" x14ac:dyDescent="0.3">
      <c r="B346" s="5">
        <v>6</v>
      </c>
      <c r="C346" s="6">
        <v>10000</v>
      </c>
    </row>
    <row r="347" spans="2:3" x14ac:dyDescent="0.3">
      <c r="B347" s="7">
        <v>6.1</v>
      </c>
      <c r="C347" s="8">
        <v>10000</v>
      </c>
    </row>
    <row r="348" spans="2:3" x14ac:dyDescent="0.3">
      <c r="B348" s="5">
        <v>6.1</v>
      </c>
      <c r="C348" s="6">
        <v>10000</v>
      </c>
    </row>
    <row r="349" spans="2:3" x14ac:dyDescent="0.3">
      <c r="B349" s="7">
        <v>6.1</v>
      </c>
      <c r="C349" s="8">
        <v>10000</v>
      </c>
    </row>
    <row r="350" spans="2:3" x14ac:dyDescent="0.3">
      <c r="B350" s="5">
        <v>6.1</v>
      </c>
      <c r="C350" s="6">
        <v>10000</v>
      </c>
    </row>
    <row r="351" spans="2:3" x14ac:dyDescent="0.3">
      <c r="B351" s="7">
        <v>6.2</v>
      </c>
      <c r="C351" s="8">
        <v>10000</v>
      </c>
    </row>
    <row r="352" spans="2:3" x14ac:dyDescent="0.3">
      <c r="B352" s="5">
        <v>6.2</v>
      </c>
      <c r="C352" s="6">
        <v>10000</v>
      </c>
    </row>
    <row r="353" spans="2:3" x14ac:dyDescent="0.3">
      <c r="B353" s="7">
        <v>6.2</v>
      </c>
      <c r="C353" s="8">
        <v>10000</v>
      </c>
    </row>
    <row r="354" spans="2:3" x14ac:dyDescent="0.3">
      <c r="B354" s="5">
        <v>8.1</v>
      </c>
      <c r="C354" s="6">
        <v>3700</v>
      </c>
    </row>
    <row r="355" spans="2:3" x14ac:dyDescent="0.3">
      <c r="B355" s="7">
        <v>8.1</v>
      </c>
      <c r="C355" s="8">
        <v>3700</v>
      </c>
    </row>
    <row r="356" spans="2:3" x14ac:dyDescent="0.3">
      <c r="B356" s="5">
        <v>6.1</v>
      </c>
      <c r="C356" s="6">
        <v>10000</v>
      </c>
    </row>
    <row r="357" spans="2:3" x14ac:dyDescent="0.3">
      <c r="B357" s="7">
        <v>8.3000000000000007</v>
      </c>
      <c r="C357" s="8">
        <v>5000</v>
      </c>
    </row>
    <row r="358" spans="2:3" x14ac:dyDescent="0.3">
      <c r="B358" s="5">
        <v>6</v>
      </c>
      <c r="C358" s="6">
        <v>10000</v>
      </c>
    </row>
    <row r="359" spans="2:3" x14ac:dyDescent="0.3">
      <c r="B359" s="7">
        <v>6.1</v>
      </c>
      <c r="C359" s="8">
        <v>10000</v>
      </c>
    </row>
    <row r="360" spans="2:3" x14ac:dyDescent="0.3">
      <c r="B360" s="5">
        <v>6</v>
      </c>
      <c r="C360" s="6">
        <v>10000</v>
      </c>
    </row>
    <row r="361" spans="2:3" x14ac:dyDescent="0.3">
      <c r="B361" s="7">
        <v>6</v>
      </c>
      <c r="C361" s="8">
        <v>10000</v>
      </c>
    </row>
    <row r="362" spans="2:3" x14ac:dyDescent="0.3">
      <c r="B362" s="5">
        <v>6</v>
      </c>
      <c r="C362" s="6">
        <v>10000</v>
      </c>
    </row>
    <row r="363" spans="2:3" x14ac:dyDescent="0.3">
      <c r="B363" s="7">
        <v>6</v>
      </c>
      <c r="C363" s="8">
        <v>10000</v>
      </c>
    </row>
    <row r="364" spans="2:3" x14ac:dyDescent="0.3">
      <c r="B364" s="5">
        <v>6</v>
      </c>
      <c r="C364" s="6">
        <v>10000</v>
      </c>
    </row>
    <row r="365" spans="2:3" x14ac:dyDescent="0.3">
      <c r="B365" s="7">
        <v>6</v>
      </c>
      <c r="C365" s="8">
        <v>10000</v>
      </c>
    </row>
    <row r="366" spans="2:3" x14ac:dyDescent="0.3">
      <c r="B366" s="5">
        <v>6</v>
      </c>
      <c r="C366" s="6">
        <v>10000</v>
      </c>
    </row>
    <row r="367" spans="2:3" x14ac:dyDescent="0.3">
      <c r="B367" s="7">
        <v>6.1</v>
      </c>
      <c r="C367" s="8">
        <v>10000</v>
      </c>
    </row>
    <row r="368" spans="2:3" x14ac:dyDescent="0.3">
      <c r="B368" s="5">
        <v>6</v>
      </c>
      <c r="C368" s="6">
        <v>10000</v>
      </c>
    </row>
    <row r="369" spans="2:3" x14ac:dyDescent="0.3">
      <c r="B369" s="7">
        <v>6.1</v>
      </c>
      <c r="C369" s="8">
        <v>10000</v>
      </c>
    </row>
    <row r="370" spans="2:3" x14ac:dyDescent="0.3">
      <c r="B370" s="5">
        <v>6.1</v>
      </c>
      <c r="C370" s="6">
        <v>10000</v>
      </c>
    </row>
    <row r="371" spans="2:3" x14ac:dyDescent="0.3">
      <c r="B371" s="7">
        <v>6</v>
      </c>
      <c r="C371" s="8">
        <v>10000</v>
      </c>
    </row>
    <row r="372" spans="2:3" x14ac:dyDescent="0.3">
      <c r="B372" s="5">
        <v>6.1</v>
      </c>
      <c r="C372" s="6">
        <v>10000</v>
      </c>
    </row>
    <row r="373" spans="2:3" x14ac:dyDescent="0.3">
      <c r="B373" s="7">
        <v>6</v>
      </c>
      <c r="C373" s="8">
        <v>10000</v>
      </c>
    </row>
    <row r="374" spans="2:3" x14ac:dyDescent="0.3">
      <c r="B374" s="5">
        <v>6.1</v>
      </c>
      <c r="C374" s="6">
        <v>10000</v>
      </c>
    </row>
    <row r="375" spans="2:3" x14ac:dyDescent="0.3">
      <c r="B375" s="7">
        <v>6.1</v>
      </c>
      <c r="C375" s="8">
        <v>10000</v>
      </c>
    </row>
    <row r="376" spans="2:3" x14ac:dyDescent="0.3">
      <c r="B376" s="5">
        <v>8.5</v>
      </c>
      <c r="C376" s="6">
        <v>5000</v>
      </c>
    </row>
    <row r="377" spans="2:3" x14ac:dyDescent="0.3">
      <c r="B377" s="7">
        <v>8.5</v>
      </c>
      <c r="C377" s="8">
        <v>5000</v>
      </c>
    </row>
    <row r="378" spans="2:3" x14ac:dyDescent="0.3">
      <c r="B378" s="5">
        <v>8.5</v>
      </c>
      <c r="C378" s="6">
        <v>5000</v>
      </c>
    </row>
    <row r="379" spans="2:3" x14ac:dyDescent="0.3">
      <c r="B379" s="7">
        <v>8.5</v>
      </c>
      <c r="C379" s="8">
        <v>5000</v>
      </c>
    </row>
    <row r="380" spans="2:3" x14ac:dyDescent="0.3">
      <c r="B380" s="5">
        <v>7.1</v>
      </c>
      <c r="C380" s="6">
        <v>6000</v>
      </c>
    </row>
    <row r="381" spans="2:3" x14ac:dyDescent="0.3">
      <c r="B381" s="7">
        <v>6</v>
      </c>
      <c r="C381" s="8">
        <v>10000</v>
      </c>
    </row>
    <row r="382" spans="2:3" x14ac:dyDescent="0.3">
      <c r="B382" s="5">
        <v>6.1</v>
      </c>
      <c r="C382" s="6">
        <v>10000</v>
      </c>
    </row>
    <row r="383" spans="2:3" x14ac:dyDescent="0.3">
      <c r="B383" s="7">
        <v>6.1</v>
      </c>
      <c r="C383" s="8">
        <v>10000</v>
      </c>
    </row>
    <row r="384" spans="2:3" x14ac:dyDescent="0.3">
      <c r="B384" s="5">
        <v>6.5</v>
      </c>
      <c r="C384" s="6">
        <v>6000</v>
      </c>
    </row>
    <row r="385" spans="2:3" x14ac:dyDescent="0.3">
      <c r="B385" s="7">
        <v>6.5</v>
      </c>
      <c r="C385" s="8">
        <v>6000</v>
      </c>
    </row>
    <row r="386" spans="2:3" x14ac:dyDescent="0.3">
      <c r="B386" s="5">
        <v>6.6</v>
      </c>
      <c r="C386" s="6">
        <v>6000</v>
      </c>
    </row>
    <row r="387" spans="2:3" x14ac:dyDescent="0.3">
      <c r="B387" s="7">
        <v>6.6</v>
      </c>
      <c r="C387" s="8">
        <v>6000</v>
      </c>
    </row>
    <row r="388" spans="2:3" x14ac:dyDescent="0.3">
      <c r="B388" s="5">
        <v>6.6</v>
      </c>
      <c r="C388" s="6">
        <v>6000</v>
      </c>
    </row>
    <row r="389" spans="2:3" x14ac:dyDescent="0.3">
      <c r="B389" s="7">
        <v>6.6</v>
      </c>
      <c r="C389" s="8">
        <v>6000</v>
      </c>
    </row>
    <row r="390" spans="2:3" x14ac:dyDescent="0.3">
      <c r="B390" s="5">
        <v>8.4</v>
      </c>
      <c r="C390" s="6">
        <v>5000</v>
      </c>
    </row>
    <row r="391" spans="2:3" x14ac:dyDescent="0.3">
      <c r="B391" s="7">
        <v>8.4</v>
      </c>
      <c r="C391" s="8">
        <v>5000</v>
      </c>
    </row>
    <row r="392" spans="2:3" x14ac:dyDescent="0.3">
      <c r="B392" s="5">
        <v>8.4</v>
      </c>
      <c r="C392" s="6">
        <v>5000</v>
      </c>
    </row>
    <row r="393" spans="2:3" x14ac:dyDescent="0.3">
      <c r="B393" s="7">
        <v>8.3000000000000007</v>
      </c>
      <c r="C393" s="8">
        <v>5000</v>
      </c>
    </row>
    <row r="394" spans="2:3" x14ac:dyDescent="0.3">
      <c r="B394" s="5">
        <v>8.5</v>
      </c>
      <c r="C394" s="6">
        <v>5000</v>
      </c>
    </row>
    <row r="395" spans="2:3" x14ac:dyDescent="0.3">
      <c r="B395" s="7">
        <v>8.5</v>
      </c>
      <c r="C395" s="8">
        <v>5000</v>
      </c>
    </row>
    <row r="396" spans="2:3" x14ac:dyDescent="0.3">
      <c r="B396" s="5">
        <v>8.4</v>
      </c>
      <c r="C396" s="6">
        <v>5000</v>
      </c>
    </row>
    <row r="397" spans="2:3" x14ac:dyDescent="0.3">
      <c r="B397" s="7">
        <v>8.4</v>
      </c>
      <c r="C397" s="8">
        <v>5000</v>
      </c>
    </row>
    <row r="398" spans="2:3" x14ac:dyDescent="0.3">
      <c r="B398" s="5">
        <v>8.5</v>
      </c>
      <c r="C398" s="6">
        <v>5000</v>
      </c>
    </row>
    <row r="399" spans="2:3" x14ac:dyDescent="0.3">
      <c r="B399" s="7">
        <v>8.4</v>
      </c>
      <c r="C399" s="8">
        <v>5000</v>
      </c>
    </row>
    <row r="400" spans="2:3" x14ac:dyDescent="0.3">
      <c r="B400" s="5">
        <v>8.4</v>
      </c>
      <c r="C400" s="6">
        <v>5000</v>
      </c>
    </row>
    <row r="401" spans="2:3" x14ac:dyDescent="0.3">
      <c r="B401" s="7">
        <v>8.5</v>
      </c>
      <c r="C401" s="8">
        <v>5000</v>
      </c>
    </row>
    <row r="402" spans="2:3" x14ac:dyDescent="0.3">
      <c r="B402" s="5">
        <v>8.3000000000000007</v>
      </c>
      <c r="C402" s="6">
        <v>5000</v>
      </c>
    </row>
    <row r="403" spans="2:3" x14ac:dyDescent="0.3">
      <c r="B403" s="7">
        <v>8.5</v>
      </c>
      <c r="C403" s="8">
        <v>5000</v>
      </c>
    </row>
    <row r="404" spans="2:3" x14ac:dyDescent="0.3">
      <c r="B404" s="5">
        <v>8.3000000000000007</v>
      </c>
      <c r="C404" s="6">
        <v>5000</v>
      </c>
    </row>
    <row r="405" spans="2:3" x14ac:dyDescent="0.3">
      <c r="B405" s="7">
        <v>8.5</v>
      </c>
      <c r="C405" s="8">
        <v>5000</v>
      </c>
    </row>
    <row r="406" spans="2:3" x14ac:dyDescent="0.3">
      <c r="B406" s="5">
        <v>8.3000000000000007</v>
      </c>
      <c r="C406" s="6">
        <v>5000</v>
      </c>
    </row>
    <row r="407" spans="2:3" x14ac:dyDescent="0.3">
      <c r="B407" s="7">
        <v>8.5</v>
      </c>
      <c r="C407" s="8">
        <v>5000</v>
      </c>
    </row>
    <row r="408" spans="2:3" x14ac:dyDescent="0.3">
      <c r="B408" s="5">
        <v>8.5</v>
      </c>
      <c r="C408" s="6">
        <v>5000</v>
      </c>
    </row>
    <row r="409" spans="2:3" x14ac:dyDescent="0.3">
      <c r="B409" s="7">
        <v>8.4</v>
      </c>
      <c r="C409" s="8">
        <v>5000</v>
      </c>
    </row>
    <row r="410" spans="2:3" x14ac:dyDescent="0.3">
      <c r="B410" s="5">
        <v>8.4</v>
      </c>
      <c r="C410" s="6">
        <v>5000</v>
      </c>
    </row>
    <row r="411" spans="2:3" x14ac:dyDescent="0.3">
      <c r="B411" s="7">
        <v>8.4</v>
      </c>
      <c r="C411" s="8">
        <v>5000</v>
      </c>
    </row>
    <row r="412" spans="2:3" x14ac:dyDescent="0.3">
      <c r="B412" s="5">
        <v>8.4</v>
      </c>
      <c r="C412" s="6">
        <v>5000</v>
      </c>
    </row>
    <row r="413" spans="2:3" x14ac:dyDescent="0.3">
      <c r="B413" s="7">
        <v>8.4</v>
      </c>
      <c r="C413" s="8">
        <v>5000</v>
      </c>
    </row>
    <row r="414" spans="2:3" x14ac:dyDescent="0.3">
      <c r="B414" s="5">
        <v>8.4</v>
      </c>
      <c r="C414" s="6">
        <v>5000</v>
      </c>
    </row>
    <row r="415" spans="2:3" x14ac:dyDescent="0.3">
      <c r="B415" s="7">
        <v>8.4</v>
      </c>
      <c r="C415" s="8">
        <v>5000</v>
      </c>
    </row>
    <row r="416" spans="2:3" x14ac:dyDescent="0.3">
      <c r="B416" s="5">
        <v>8.5</v>
      </c>
      <c r="C416" s="6">
        <v>5000</v>
      </c>
    </row>
    <row r="417" spans="2:3" x14ac:dyDescent="0.3">
      <c r="B417" s="7">
        <v>8.1</v>
      </c>
      <c r="C417" s="8">
        <v>5000</v>
      </c>
    </row>
    <row r="418" spans="2:3" x14ac:dyDescent="0.3">
      <c r="B418" s="5">
        <v>8.1</v>
      </c>
      <c r="C418" s="6">
        <v>5000</v>
      </c>
    </row>
    <row r="419" spans="2:3" x14ac:dyDescent="0.3">
      <c r="B419" s="7">
        <v>8.1999999999999993</v>
      </c>
      <c r="C419" s="8">
        <v>10000</v>
      </c>
    </row>
    <row r="420" spans="2:3" x14ac:dyDescent="0.3">
      <c r="B420" s="5">
        <v>8.1999999999999993</v>
      </c>
      <c r="C420" s="6">
        <v>10000</v>
      </c>
    </row>
    <row r="421" spans="2:3" x14ac:dyDescent="0.3">
      <c r="B421" s="7">
        <v>8.1</v>
      </c>
      <c r="C421" s="8">
        <v>7000</v>
      </c>
    </row>
    <row r="422" spans="2:3" x14ac:dyDescent="0.3">
      <c r="B422" s="5">
        <v>8.1999999999999993</v>
      </c>
      <c r="C422" s="6">
        <v>7000</v>
      </c>
    </row>
    <row r="423" spans="2:3" x14ac:dyDescent="0.3">
      <c r="B423" s="7">
        <v>8.1999999999999993</v>
      </c>
      <c r="C423" s="8">
        <v>7000</v>
      </c>
    </row>
    <row r="424" spans="2:3" x14ac:dyDescent="0.3">
      <c r="B424" s="5">
        <v>8.1999999999999993</v>
      </c>
      <c r="C424" s="6">
        <v>7000</v>
      </c>
    </row>
    <row r="425" spans="2:3" x14ac:dyDescent="0.3">
      <c r="B425" s="7">
        <v>8.1999999999999993</v>
      </c>
      <c r="C425" s="8">
        <v>7000</v>
      </c>
    </row>
    <row r="426" spans="2:3" x14ac:dyDescent="0.3">
      <c r="B426" s="5">
        <v>8.1999999999999993</v>
      </c>
      <c r="C426" s="6">
        <v>7000</v>
      </c>
    </row>
    <row r="427" spans="2:3" x14ac:dyDescent="0.3">
      <c r="B427" s="7">
        <v>8.1</v>
      </c>
      <c r="C427" s="8">
        <v>7000</v>
      </c>
    </row>
    <row r="428" spans="2:3" x14ac:dyDescent="0.3">
      <c r="B428" s="5">
        <v>8.1</v>
      </c>
      <c r="C428" s="6">
        <v>7000</v>
      </c>
    </row>
    <row r="429" spans="2:3" x14ac:dyDescent="0.3">
      <c r="B429" s="7">
        <v>8.1</v>
      </c>
      <c r="C429" s="8">
        <v>7000</v>
      </c>
    </row>
    <row r="430" spans="2:3" x14ac:dyDescent="0.3">
      <c r="B430" s="5">
        <v>8</v>
      </c>
      <c r="C430" s="6">
        <v>7000</v>
      </c>
    </row>
    <row r="431" spans="2:3" x14ac:dyDescent="0.3">
      <c r="B431" s="7">
        <v>8</v>
      </c>
      <c r="C431" s="8">
        <v>7000</v>
      </c>
    </row>
    <row r="432" spans="2:3" x14ac:dyDescent="0.3">
      <c r="B432" s="5">
        <v>8</v>
      </c>
      <c r="C432" s="6">
        <v>7000</v>
      </c>
    </row>
    <row r="433" spans="2:3" x14ac:dyDescent="0.3">
      <c r="B433" s="7">
        <v>8</v>
      </c>
      <c r="C433" s="8">
        <v>7000</v>
      </c>
    </row>
    <row r="434" spans="2:3" x14ac:dyDescent="0.3">
      <c r="B434" s="5">
        <v>8</v>
      </c>
      <c r="C434" s="6">
        <v>7000</v>
      </c>
    </row>
    <row r="435" spans="2:3" x14ac:dyDescent="0.3">
      <c r="B435" s="7">
        <v>8</v>
      </c>
      <c r="C435" s="8">
        <v>7000</v>
      </c>
    </row>
    <row r="436" spans="2:3" x14ac:dyDescent="0.3">
      <c r="B436" s="5">
        <v>8</v>
      </c>
      <c r="C436" s="6">
        <v>7000</v>
      </c>
    </row>
    <row r="437" spans="2:3" x14ac:dyDescent="0.3">
      <c r="B437" s="7">
        <v>8.1</v>
      </c>
      <c r="C437" s="8">
        <v>7000</v>
      </c>
    </row>
    <row r="438" spans="2:3" x14ac:dyDescent="0.3">
      <c r="B438" s="5">
        <v>8.1999999999999993</v>
      </c>
      <c r="C438" s="6">
        <v>7000</v>
      </c>
    </row>
    <row r="439" spans="2:3" x14ac:dyDescent="0.3">
      <c r="B439" s="7">
        <v>8.1999999999999993</v>
      </c>
      <c r="C439" s="8">
        <v>7000</v>
      </c>
    </row>
    <row r="440" spans="2:3" x14ac:dyDescent="0.3">
      <c r="B440" s="5">
        <v>8.1999999999999993</v>
      </c>
      <c r="C440" s="6">
        <v>7000</v>
      </c>
    </row>
    <row r="441" spans="2:3" x14ac:dyDescent="0.3">
      <c r="B441" s="7">
        <v>8.1999999999999993</v>
      </c>
      <c r="C441" s="8">
        <v>7000</v>
      </c>
    </row>
    <row r="442" spans="2:3" x14ac:dyDescent="0.3">
      <c r="B442" s="5">
        <v>8</v>
      </c>
      <c r="C442" s="6">
        <v>7000</v>
      </c>
    </row>
    <row r="443" spans="2:3" x14ac:dyDescent="0.3">
      <c r="B443" s="7">
        <v>8</v>
      </c>
      <c r="C443" s="8">
        <v>7000</v>
      </c>
    </row>
    <row r="444" spans="2:3" x14ac:dyDescent="0.3">
      <c r="B444" s="5">
        <v>8.1</v>
      </c>
      <c r="C444" s="6">
        <v>7000</v>
      </c>
    </row>
    <row r="445" spans="2:3" x14ac:dyDescent="0.3">
      <c r="B445" s="7">
        <v>8</v>
      </c>
      <c r="C445" s="8">
        <v>7000</v>
      </c>
    </row>
    <row r="446" spans="2:3" x14ac:dyDescent="0.3">
      <c r="B446" s="5">
        <v>8.1</v>
      </c>
      <c r="C446" s="6">
        <v>7000</v>
      </c>
    </row>
    <row r="447" spans="2:3" x14ac:dyDescent="0.3">
      <c r="B447" s="7">
        <v>8.1</v>
      </c>
      <c r="C447" s="8">
        <v>7000</v>
      </c>
    </row>
    <row r="448" spans="2:3" x14ac:dyDescent="0.3">
      <c r="B448" s="5">
        <v>8</v>
      </c>
      <c r="C448" s="6">
        <v>7000</v>
      </c>
    </row>
    <row r="449" spans="2:3" x14ac:dyDescent="0.3">
      <c r="B449" s="7">
        <v>8.1</v>
      </c>
      <c r="C449" s="8">
        <v>7000</v>
      </c>
    </row>
    <row r="450" spans="2:3" x14ac:dyDescent="0.3">
      <c r="B450" s="5">
        <v>8.1</v>
      </c>
      <c r="C450" s="6">
        <v>7000</v>
      </c>
    </row>
    <row r="451" spans="2:3" x14ac:dyDescent="0.3">
      <c r="B451" s="9">
        <v>8.1</v>
      </c>
      <c r="C451" s="10">
        <v>7000</v>
      </c>
    </row>
  </sheetData>
  <mergeCells count="1">
    <mergeCell ref="N98:O100"/>
  </mergeCell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2CD3-4332-45C6-A4AA-41AE3F0DC221}">
  <sheetPr codeName="Sheet2">
    <pageSetUpPr autoPageBreaks="0"/>
  </sheetPr>
  <dimension ref="A1"/>
  <sheetViews>
    <sheetView showGridLines="0" showRowColHeaders="0" tabSelected="1" zoomScale="46" zoomScaleNormal="55" workbookViewId="0">
      <selection activeCell="AM52" sqref="AM52"/>
    </sheetView>
  </sheetViews>
  <sheetFormatPr defaultRowHeight="14.4" x14ac:dyDescent="0.3"/>
  <sheetData/>
  <pageMargins left="0.7" right="0.7" top="0.75" bottom="0.75" header="0.3" footer="0.3"/>
  <pageSetup paperSize="9" fitToWidth="0" fitToHeight="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F6091D-669A-4580-B2C8-751D61AA22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Sleep_Health_and_Lifestyle_Data</vt:lpstr>
      <vt:lpstr>TABLE AND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Krishnan</dc:creator>
  <cp:lastModifiedBy>Varun Krishnan</cp:lastModifiedBy>
  <dcterms:created xsi:type="dcterms:W3CDTF">2026-07-21T18:30:52Z</dcterms:created>
  <dcterms:modified xsi:type="dcterms:W3CDTF">2026-07-22T18:33:25Z</dcterms:modified>
</cp:coreProperties>
</file>